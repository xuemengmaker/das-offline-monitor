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e4ddb8c4b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概览" sheetId="1" r:id="Rc442003e918e4e0d"/>
    <x:sheet xmlns:r="http://schemas.openxmlformats.org/officeDocument/2006/relationships" name="测试用例库" sheetId="2" r:id="Rc50b7860f3cb435c"/>
    <x:sheet xmlns:r="http://schemas.openxmlformats.org/officeDocument/2006/relationships" name="需求追踪" sheetId="3" r:id="Rd8581025e4df42ba"/>
    <x:sheet xmlns:r="http://schemas.openxmlformats.org/officeDocument/2006/relationships" name="测试数据" sheetId="4" r:id="R09033fc5cef64b75"/>
    <x:sheet xmlns:r="http://schemas.openxmlformats.org/officeDocument/2006/relationships" name="执行记录与缺陷" sheetId="5" r:id="R2becd82e8b00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526176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 style="thin">
        <x:color rgb="FFE2E8F0"/>
      </x:right>
      <x:top style="thin">
        <x:color rgb="FFE2E8F0"/>
      </x:top>
      <x:bottom style="thin">
        <x:color rgb="FFE2E8F0"/>
      </x:bottom>
      <x:diagonal/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/>
    </x:border>
    <x:border>
      <x:left style="thin">
        <x:color rgb="FFE2E8F0"/>
      </x:left>
      <x:right/>
      <x:top style="thin">
        <x:color rgb="FFE2E8F0"/>
      </x:top>
      <x:bottom style="thin">
        <x:color rgb="FFE2E8F0"/>
      </x:bottom>
      <x:diagonal/>
    </x:border>
    <x:border>
      <x:left/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3" borderId="3" xfId="0" applyNumberFormat="1" applyFont="1" applyFill="1" applyBorder="1"/>
    <x:xf numFmtId="0" fontId="5" fillId="4" borderId="3" xfId="0" applyNumberFormat="1" applyFont="1" applyFill="1" applyBorder="1"/>
    <x:xf numFmtId="0" fontId="0" fillId="0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18f81948343f5" /><Relationship Type="http://schemas.openxmlformats.org/officeDocument/2006/relationships/theme" Target="/xl/theme/theme1.xml" Id="R2b03a7d8195948a4" /><Relationship Type="http://schemas.openxmlformats.org/officeDocument/2006/relationships/sharedStrings" Target="/xl/sharedStrings.xml" Id="R9d7ac9afa0654c69" /><Relationship Type="http://schemas.openxmlformats.org/officeDocument/2006/relationships/worksheet" Target="/xl/worksheets/sheet1.xml" Id="Rc442003e918e4e0d" /><Relationship Type="http://schemas.openxmlformats.org/officeDocument/2006/relationships/worksheet" Target="/xl/worksheets/sheet2.xml" Id="Rc50b7860f3cb435c" /><Relationship Type="http://schemas.openxmlformats.org/officeDocument/2006/relationships/worksheet" Target="/xl/worksheets/sheet3.xml" Id="Rd8581025e4df42ba" /><Relationship Type="http://schemas.openxmlformats.org/officeDocument/2006/relationships/worksheet" Target="/xl/worksheets/sheet4.xml" Id="R09033fc5cef64b75" /><Relationship Type="http://schemas.openxmlformats.org/officeDocument/2006/relationships/worksheet" Target="/xl/worksheets/sheet5.xml" Id="R2becd82e8b004a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729335d9874b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测试用例执行状态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invertIfNegative val="0"/>
          <c:cat>
            <c:strRef>
              <c:f>'执行概览'!$D$6:$D$9</c:f>
              <c:strCache>
                <c:ptCount val="0"/>
              </c:strCache>
            </c:strRef>
          </c:cat>
          <c:val>
            <c:numRef>
              <c:f>'执行概览'!$E$6:$E$9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729335d9874b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Library" displayName="TestCaseLibrary" ref="A6:L76" headerRowCount="1" totalsRowCount="0" totalsRowShown="0">
  <x:tableColumns count="12">
    <x:tableColumn id="1" name="用例ID"/>
    <x:tableColumn id="2" name="需求ID"/>
    <x:tableColumn id="3" name="模块"/>
    <x:tableColumn id="4" name="类型"/>
    <x:tableColumn id="5" name="优先级"/>
    <x:tableColumn id="6" name="用例标题"/>
    <x:tableColumn id="7" name="前置条件"/>
    <x:tableColumn id="8" name="测试数据/步骤"/>
    <x:tableColumn id="9" name="预期结果"/>
    <x:tableColumn id="10" name="执行方式"/>
    <x:tableColumn id="11" name="执行状态"/>
    <x:tableColumn id="12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raceability" displayName="RequirementsTraceability" ref="A5:D44" headerRowCount="1" totalsRowCount="0" totalsRowShown="0">
  <x:tableColumns count="4">
    <x:tableColumn id="1" name="需求ID"/>
    <x:tableColumn id="2" name="需求主题"/>
    <x:tableColumn id="3" name="可验证需求"/>
    <x:tableColumn id="4" name="覆盖测试用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DataCatalogue" displayName="TestDataCatalogue" ref="A5:F16" headerRowCount="1" totalsRowCount="0" totalsRowShown="0">
  <x:tableColumns count="6">
    <x:tableColumn id="1" name="数据ID"/>
    <x:tableColumn id="2" name="类别"/>
    <x:tableColumn id="3" name="名称/路径"/>
    <x:tableColumn id="4" name="位置"/>
    <x:tableColumn id="5" name="关键属性"/>
    <x:tableColumn id="6" name="主要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Records" displayName="ExecutionRecords" ref="A5:J8" headerRowCount="1" totalsRowCount="0" totalsRowShown="0">
  <x:tableColumns count="10">
    <x:tableColumn id="1" name="执行轮次"/>
    <x:tableColumn id="2" name="日期"/>
    <x:tableColumn id="3" name="范围"/>
    <x:tableColumn id="4" name="环境"/>
    <x:tableColumn id="5" name="执行命令/步骤"/>
    <x:tableColumn id="6" name="结果"/>
    <x:tableColumn id="7" name="证据"/>
    <x:tableColumn id="8" name="结论"/>
    <x:tableColumn id="9" name="执行人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ectRegister" displayName="DefectRegister" ref="A11:K13" headerRowCount="1" totalsRowCount="0" totalsRowShown="0">
  <x:tableColumns count="11">
    <x:tableColumn id="1" name="缺陷ID"/>
    <x:tableColumn id="2" name="发现日期"/>
    <x:tableColumn id="3" name="模块"/>
    <x:tableColumn id="4" name="严重级别"/>
    <x:tableColumn id="5" name="复现条件"/>
    <x:tableColumn id="6" name="实际结果"/>
    <x:tableColumn id="7" name="预期结果"/>
    <x:tableColumn id="8" name="状态"/>
    <x:tableColumn id="9" name="修复版本"/>
    <x:tableColumn id="10" name="回归用例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93092b34bd44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ebe711a79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464f1c844345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86da1151df47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78ed95ed284ed4" /><Relationship Type="http://schemas.openxmlformats.org/officeDocument/2006/relationships/table" Target="/xl/tables/table5.xml" Id="R679bdbc909df4c9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0" hidden="0" customWidth="1"/>
    <x:col min="5" max="5" width="12" hidden="0" customWidth="1"/>
    <x:col min="6" max="6" width="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2" t="str">
        <x:v>DAS 管道泄漏风险离线回放软件 - 测试用例执行概览</x:v>
      </x:c>
    </x:row>
    <x:row r="2">
      <x:c r="A2" s="3" t="str">
        <x:v>版本v0.2 | 2026-10-17 | 未执行用例保持待执行，不将测试设计写成测试结论</x:v>
      </x:c>
    </x:row>
    <x:row r="5">
      <x:c r="A5" s="10" t="str">
        <x:v>指标</x:v>
      </x:c>
      <x:c r="B5" s="10" t="str">
        <x:v>当前值</x:v>
      </x:c>
      <x:c r="D5" s="10" t="str">
        <x:v>执行状态</x:v>
      </x:c>
      <x:c r="E5" s="10" t="str">
        <x:v>数量</x:v>
      </x:c>
    </x:row>
    <x:row r="6">
      <x:c r="A6" s="12" t="str">
        <x:v>测试用例总数</x:v>
      </x:c>
      <x:c r="B6" s="14" t="n">
        <x:f>COUNTA('测试用例库'!A7:A200)</x:f>
        <x:v>70</x:v>
      </x:c>
      <x:c r="D6" s="11" t="str">
        <x:v>已通过（自动化）</x:v>
      </x:c>
      <x:c r="E6" s="11" t="n">
        <x:f>COUNTIF('测试用例库'!K7:K200,"已通过（自动化）")</x:f>
        <x:v>16</x:v>
      </x:c>
    </x:row>
    <x:row r="7">
      <x:c r="A7" s="12" t="str">
        <x:v>已通过（自动化）</x:v>
      </x:c>
      <x:c r="B7" s="14" t="n">
        <x:f>COUNTIF('测试用例库'!K7:K200,"已通过（自动化）")</x:f>
        <x:v>16</x:v>
      </x:c>
      <x:c r="D7" s="11" t="str">
        <x:v>已通过（手工）</x:v>
      </x:c>
      <x:c r="E7" s="11" t="n">
        <x:f>COUNTIF('测试用例库'!K7:K200,"已通过（手工）")</x:f>
        <x:v>6</x:v>
      </x:c>
    </x:row>
    <x:row r="8">
      <x:c r="A8" s="12" t="str">
        <x:v>已通过（手工）</x:v>
      </x:c>
      <x:c r="B8" s="14" t="n">
        <x:f>COUNTIF('测试用例库'!K7:K200,"已通过（手工）")</x:f>
        <x:v>6</x:v>
      </x:c>
      <x:c r="D8" s="11" t="str">
        <x:v>待执行</x:v>
      </x:c>
      <x:c r="E8" s="11" t="n">
        <x:f>COUNTIF('测试用例库'!K7:K200,"待执行")</x:f>
        <x:v>48</x:v>
      </x:c>
    </x:row>
    <x:row r="9">
      <x:c r="A9" s="12" t="str">
        <x:v>待执行</x:v>
      </x:c>
      <x:c r="B9" s="14" t="n">
        <x:f>COUNTIF('测试用例库'!K7:K200,"待执行")</x:f>
        <x:v>48</x:v>
      </x:c>
      <x:c r="D9" s="11" t="str">
        <x:v>阻塞</x:v>
      </x:c>
      <x:c r="E9" s="11" t="n">
        <x:f>COUNTIF('测试用例库'!K7:K200,"阻塞")</x:f>
        <x:v>0</x:v>
      </x:c>
    </x:row>
    <x:row r="10">
      <x:c r="A10" s="12" t="str">
        <x:v>P0用例数</x:v>
      </x:c>
      <x:c r="B10" s="14" t="n">
        <x:f>COUNTIF('测试用例库'!E7:E200,"P0")</x:f>
        <x:v>36</x:v>
      </x:c>
    </x:row>
    <x:row r="13">
      <x:c r="A13" s="19" t="str">
        <x:v>使用说明</x:v>
      </x:c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</x:row>
    <x:row r="14" ht="34" customHeight="1">
      <x:c r="A14" s="22" t="str">
        <x:v>1</x:v>
      </x:c>
      <x:c r="B14" s="23" t="str">
        <x:v>P0是核心功能与数据安全，P1是主要质量风险，P2是兼容性或扩展验证。</x:v>
      </x:c>
      <x:c r="C14" s="23" t="str"/>
      <x:c r="D14" s="23" t="str"/>
      <x:c r="E14" s="23" t="str"/>
      <x:c r="F14" s="23" t="str"/>
      <x:c r="G14" s="23" t="str"/>
      <x:c r="H14" s="23" t="str"/>
      <x:c r="I14" s="23" t="str"/>
      <x:c r="J14" s="23" t="str"/>
      <x:c r="K14" s="23" t="str"/>
      <x:c r="L14" s="23" t="str"/>
    </x:row>
    <x:row r="15" ht="34" customHeight="1">
      <x:c r="A15" s="22" t="str">
        <x:v>2</x:v>
      </x:c>
      <x:c r="B15" s="23" t="str">
        <x:v>执行时填写执行人、日期、状态、缺陷ID，并保留job_id、日志片段或Allure作为证据。</x:v>
      </x:c>
      <x:c r="C15" s="23" t="str"/>
      <x:c r="D15" s="23" t="str"/>
      <x:c r="E15" s="23" t="str"/>
      <x:c r="F15" s="23" t="str"/>
      <x:c r="G15" s="23" t="str"/>
      <x:c r="H15" s="23" t="str"/>
      <x:c r="I15" s="23" t="str"/>
      <x:c r="J15" s="23" t="str"/>
      <x:c r="K15" s="23" t="str"/>
      <x:c r="L15" s="23" t="str"/>
    </x:row>
    <x:row r="16" ht="34" customHeight="1">
      <x:c r="A16" s="22" t="str">
        <x:v>3</x:v>
      </x:c>
      <x:c r="B16" s="23" t="str">
        <x:v>当前12个pytest函数覆盖16条测试用例设计项；一个自动化函数可以同时验证任务创建、状态和结果字段。</x:v>
      </x:c>
      <x:c r="C16" s="23" t="str"/>
      <x:c r="D16" s="23" t="str"/>
      <x:c r="E16" s="23" t="str"/>
      <x:c r="F16" s="23" t="str"/>
      <x:c r="G16" s="23" t="str"/>
      <x:c r="H16" s="23" t="str"/>
      <x:c r="I16" s="23" t="str"/>
      <x:c r="J16" s="23" t="str"/>
      <x:c r="K16" s="23" t="str"/>
      <x:c r="L16" s="23" t="str"/>
    </x:row>
    <x:row r="17" ht="34" customHeight="1">
      <x:c r="A17" s="22" t="str">
        <x:v>来源</x:v>
      </x:c>
      <x:c r="B17" s="23" t="str">
        <x:v>系统需求 docs/software_requirements.md；算法边界 docs/algorithm_and_limits.md；现有自动化 tests/；真实数据根目录 F:\数据。</x:v>
      </x:c>
      <x:c r="C17" s="23" t="str"/>
      <x:c r="D17" s="23" t="str"/>
      <x:c r="E17" s="23" t="str"/>
      <x:c r="F17" s="23" t="str"/>
      <x:c r="G17" s="23" t="str"/>
      <x:c r="H17" s="23" t="str"/>
      <x:c r="I17" s="23" t="str"/>
      <x:c r="J17" s="23" t="str"/>
      <x:c r="K17" s="23" t="str"/>
      <x:c r="L17" s="23" t="str"/>
    </x:row>
    <x:row r="18" ht="34" customHeight="1">
      <x:c r="A18" s="22" t="str">
        <x:v>说明</x:v>
      </x:c>
      <x:c r="B18" s="23" t="str">
        <x:v>本项目输出历史数据泄漏风险候选；未拥有现场标签时，不能把“通过”解释成检出率已验证。</x:v>
      </x:c>
      <x:c r="C18" s="23" t="str"/>
      <x:c r="D18" s="23" t="str"/>
      <x:c r="E18" s="23" t="str"/>
      <x:c r="F18" s="23" t="str"/>
      <x:c r="G18" s="23" t="str"/>
      <x:c r="H18" s="23" t="str"/>
      <x:c r="I18" s="23" t="str"/>
      <x:c r="J18" s="23" t="str"/>
      <x:c r="K18" s="23" t="str"/>
      <x:c r="L18" s="23" t="str"/>
    </x:row>
  </x:sheetData>
  <x:mergeCells>
    <x:mergeCell ref="A1:L1"/>
    <x:mergeCell ref="A2:L2"/>
    <x:mergeCell ref="A13:L13"/>
    <x:mergeCell ref="B14:L14"/>
    <x:mergeCell ref="B15:L15"/>
    <x:mergeCell ref="B16:L16"/>
    <x:mergeCell ref="B17:L17"/>
    <x:mergeCell ref="B18:L18"/>
  </x:mergeCells>
  <x:pageMargins left="0.7" right="0.7" top="0.75" bottom="0.75" header="0.3" footer="0.3"/>
  <x:drawing xmlns:r="http://schemas.openxmlformats.org/officeDocument/2006/relationships" r:id="R3193092b34bd44ed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8" hidden="0" customWidth="1"/>
    <x:col min="6" max="6" width="27" hidden="0" customWidth="1"/>
    <x:col min="7" max="7" width="25" hidden="0" customWidth="1"/>
    <x:col min="8" max="8" width="32" hidden="0" customWidth="1"/>
    <x:col min="9" max="9" width="34" hidden="0" customWidth="1"/>
    <x:col min="10" max="10" width="12" hidden="0" customWidth="1"/>
    <x:col min="11" max="11" width="18" hidden="0" customWidth="1"/>
    <x:col min="12" max="12" width="25" hidden="0" customWidth="1"/>
  </x:cols>
  <x:sheetData>
    <x:row r="1" ht="28" customHeight="1">
      <x:c r="A1" s="2" t="str">
        <x:v>测试用例库</x:v>
      </x:c>
    </x:row>
    <x:row r="2">
      <x:c r="A2" s="3" t="str">
        <x:v>覆盖功能、异常检测与预警、边界/安全、性能/可靠性。仅已有测试证据的用例标记为已通过。</x:v>
      </x:c>
    </x:row>
    <x:row r="6">
      <x:c r="A6" s="9" t="str">
        <x:v>用例ID</x:v>
      </x:c>
      <x:c r="B6" s="9" t="str">
        <x:v>需求ID</x:v>
      </x:c>
      <x:c r="C6" s="9" t="str">
        <x:v>模块</x:v>
      </x:c>
      <x:c r="D6" s="9" t="str">
        <x:v>类型</x:v>
      </x:c>
      <x:c r="E6" s="9" t="str">
        <x:v>优先级</x:v>
      </x:c>
      <x:c r="F6" s="9" t="str">
        <x:v>用例标题</x:v>
      </x:c>
      <x:c r="G6" s="9" t="str">
        <x:v>前置条件</x:v>
      </x:c>
      <x:c r="H6" s="9" t="str">
        <x:v>测试数据/步骤</x:v>
      </x:c>
      <x:c r="I6" s="9" t="str">
        <x:v>预期结果</x:v>
      </x:c>
      <x:c r="J6" s="9" t="str">
        <x:v>执行方式</x:v>
      </x:c>
      <x:c r="K6" s="9" t="str">
        <x:v>执行状态</x:v>
      </x:c>
      <x:c r="L6" s="9" t="str">
        <x:v>证据/备注</x:v>
      </x:c>
    </x:row>
    <x:row r="7" ht="60" customHeight="1">
      <x:c r="A7" s="26" t="str">
        <x:v>DAS-F-001</x:v>
      </x:c>
      <x:c r="B7" s="27" t="str">
        <x:v>REQ-01</x:v>
      </x:c>
      <x:c r="C7" s="27" t="str">
        <x:v>服务</x:v>
      </x:c>
      <x:c r="D7" s="27" t="str">
        <x:v>功能</x:v>
      </x:c>
      <x:c r="E7" s="27" t="str">
        <x:v>P0</x:v>
      </x:c>
      <x:c r="F7" s="28" t="str">
        <x:v>健康检查</x:v>
      </x:c>
      <x:c r="G7" s="28" t="str">
        <x:v>服务启动</x:v>
      </x:c>
      <x:c r="H7" s="28" t="str">
        <x:v>GET /api/v1/health</x:v>
      </x:c>
      <x:c r="I7" s="28" t="str">
        <x:v>200且数据根目录状态正确</x:v>
      </x:c>
      <x:c r="J7" s="27" t="str">
        <x:v>自动化</x:v>
      </x:c>
      <x:c r="K7" s="27" t="str">
        <x:v>待执行</x:v>
      </x:c>
      <x:c r="L7" s="29" t="str">
        <x:v>接口冒烟</x:v>
      </x:c>
    </x:row>
    <x:row r="8" ht="60" customHeight="1">
      <x:c r="A8" s="30" t="str">
        <x:v>DAS-F-002</x:v>
      </x:c>
      <x:c r="B8" s="31" t="str">
        <x:v>REQ-02</x:v>
      </x:c>
      <x:c r="C8" s="31" t="str">
        <x:v>数据目录</x:v>
      </x:c>
      <x:c r="D8" s="31" t="str">
        <x:v>功能</x:v>
      </x:c>
      <x:c r="E8" s="31" t="str">
        <x:v>P0</x:v>
      </x:c>
      <x:c r="F8" s="32" t="str">
        <x:v>枚举TDMS文件</x:v>
      </x:c>
      <x:c r="G8" s="32" t="str">
        <x:v>数据根目录可用</x:v>
      </x:c>
      <x:c r="H8" s="32" t="str">
        <x:v>GET files?limit=100</x:v>
      </x:c>
      <x:c r="I8" s="32" t="str">
        <x:v>仅返回根目录内TDMS相对路径和大小</x:v>
      </x:c>
      <x:c r="J8" s="31" t="str">
        <x:v>手工</x:v>
      </x:c>
      <x:c r="K8" s="31" t="str">
        <x:v>待执行</x:v>
      </x:c>
      <x:c r="L8" s="33" t="str">
        <x:v>目录枚举</x:v>
      </x:c>
    </x:row>
    <x:row r="9" ht="60" customHeight="1">
      <x:c r="A9" s="30" t="str">
        <x:v>DAS-F-003</x:v>
      </x:c>
      <x:c r="B9" s="31" t="str">
        <x:v>REQ-03</x:v>
      </x:c>
      <x:c r="C9" s="31" t="str">
        <x:v>元数据</x:v>
      </x:c>
      <x:c r="D9" s="31" t="str">
        <x:v>功能</x:v>
      </x:c>
      <x:c r="E9" s="31" t="str">
        <x:v>P0</x:v>
      </x:c>
      <x:c r="F9" s="32" t="str">
        <x:v>识别扁平TDMS布局</x:v>
      </x:c>
      <x:c r="G9" s="32" t="str">
        <x:v>真实文件存在</x:v>
      </x:c>
      <x:c r="H9" s="32" t="str">
        <x:v>请求metadata</x:v>
      </x:c>
      <x:c r="I9" s="32" t="str">
        <x:v>返回逻辑通道数、样点数、存储布局</x:v>
      </x:c>
      <x:c r="J9" s="31" t="str">
        <x:v>手工</x:v>
      </x:c>
      <x:c r="K9" s="31" t="str">
        <x:v>待执行</x:v>
      </x:c>
      <x:c r="L9" s="33" t="str">
        <x:v>防止物理通道误判</x:v>
      </x:c>
    </x:row>
    <x:row r="10" ht="60" customHeight="1">
      <x:c r="A10" s="30" t="str">
        <x:v>DAS-F-004</x:v>
      </x:c>
      <x:c r="B10" s="31" t="str">
        <x:v>REQ-04</x:v>
      </x:c>
      <x:c r="C10" s="31" t="str">
        <x:v>任务</x:v>
      </x:c>
      <x:c r="D10" s="31" t="str">
        <x:v>功能</x:v>
      </x:c>
      <x:c r="E10" s="31" t="str">
        <x:v>P0</x:v>
      </x:c>
      <x:c r="F10" s="32" t="str">
        <x:v>创建单文件异步任务</x:v>
      </x:c>
      <x:c r="G10" s="32" t="str">
        <x:v>服务与TDMS可用</x:v>
      </x:c>
      <x:c r="H10" s="32" t="str">
        <x:v>POST analysis-jobs</x:v>
      </x:c>
      <x:c r="I10" s="32" t="str">
        <x:v>202和queued，返回job_id</x:v>
      </x:c>
      <x:c r="J10" s="31" t="str">
        <x:v>自动化</x:v>
      </x:c>
      <x:c r="K10" s="31" t="str">
        <x:v>已通过（自动化）</x:v>
      </x:c>
      <x:c r="L10" s="33" t="str">
        <x:v>pytest API回归</x:v>
      </x:c>
    </x:row>
    <x:row r="11" ht="60" customHeight="1">
      <x:c r="A11" s="30" t="str">
        <x:v>DAS-F-005</x:v>
      </x:c>
      <x:c r="B11" s="31" t="str">
        <x:v>REQ-04</x:v>
      </x:c>
      <x:c r="C11" s="31" t="str">
        <x:v>任务</x:v>
      </x:c>
      <x:c r="D11" s="31" t="str">
        <x:v>功能</x:v>
      </x:c>
      <x:c r="E11" s="31" t="str">
        <x:v>P0</x:v>
      </x:c>
      <x:c r="F11" s="32" t="str">
        <x:v>轮询任务状态</x:v>
      </x:c>
      <x:c r="G11" s="32" t="str">
        <x:v>有效job_id</x:v>
      </x:c>
      <x:c r="H11" s="32" t="str">
        <x:v>GET analysis-jobs/{id}</x:v>
      </x:c>
      <x:c r="I11" s="32" t="str">
        <x:v>状态最终为completed或failed</x:v>
      </x:c>
      <x:c r="J11" s="31" t="str">
        <x:v>自动化</x:v>
      </x:c>
      <x:c r="K11" s="31" t="str">
        <x:v>已通过（自动化）</x:v>
      </x:c>
      <x:c r="L11" s="33" t="str">
        <x:v>状态机</x:v>
      </x:c>
    </x:row>
    <x:row r="12" ht="60" customHeight="1">
      <x:c r="A12" s="30" t="str">
        <x:v>DAS-F-006</x:v>
      </x:c>
      <x:c r="B12" s="31" t="str">
        <x:v>REQ-05</x:v>
      </x:c>
      <x:c r="C12" s="31" t="str">
        <x:v>读取</x:v>
      </x:c>
      <x:c r="D12" s="31" t="str">
        <x:v>功能</x:v>
      </x:c>
      <x:c r="E12" s="31" t="str">
        <x:v>P0</x:v>
      </x:c>
      <x:c r="F12" s="32" t="str">
        <x:v>有界读取真实TDMS</x:v>
      </x:c>
      <x:c r="G12" s="32" t="str">
        <x:v>真实文件可读</x:v>
      </x:c>
      <x:c r="H12" s="32" t="str">
        <x:v>通道1-24，10000点</x:v>
      </x:c>
      <x:c r="I12" s="32" t="str">
        <x:v>仅处理指定窗口，结果24通道</x:v>
      </x:c>
      <x:c r="J12" s="31" t="str">
        <x:v>自动化</x:v>
      </x:c>
      <x:c r="K12" s="31" t="str">
        <x:v>已通过（自动化）</x:v>
      </x:c>
      <x:c r="L12" s="33" t="str">
        <x:v>真实回放</x:v>
      </x:c>
    </x:row>
    <x:row r="13" ht="60" customHeight="1">
      <x:c r="A13" s="30" t="str">
        <x:v>DAS-F-007</x:v>
      </x:c>
      <x:c r="B13" s="31" t="str">
        <x:v>REQ-06</x:v>
      </x:c>
      <x:c r="C13" s="31" t="str">
        <x:v>特征</x:v>
      </x:c>
      <x:c r="D13" s="31" t="str">
        <x:v>功能</x:v>
      </x:c>
      <x:c r="E13" s="31" t="str">
        <x:v>P0</x:v>
      </x:c>
      <x:c r="F13" s="32" t="str">
        <x:v>输出逐通道特征</x:v>
      </x:c>
      <x:c r="G13" s="32" t="str">
        <x:v>单文件任务完成</x:v>
      </x:c>
      <x:c r="H13" s="32" t="str">
        <x:v>查看channel_metrics</x:v>
      </x:c>
      <x:c r="I13" s="32" t="str">
        <x:v>含RMS、峰值、主频、局部比、频谱Z、相干性</x:v>
      </x:c>
      <x:c r="J13" s="31" t="str">
        <x:v>手工</x:v>
      </x:c>
      <x:c r="K13" s="31" t="str">
        <x:v>待执行</x:v>
      </x:c>
      <x:c r="L13" s="33" t="str">
        <x:v>字段完整</x:v>
      </x:c>
    </x:row>
    <x:row r="14" ht="60" customHeight="1">
      <x:c r="A14" s="30" t="str">
        <x:v>DAS-F-008</x:v>
      </x:c>
      <x:c r="B14" s="31" t="str">
        <x:v>REQ-07</x:v>
      </x:c>
      <x:c r="C14" s="31" t="str">
        <x:v>背景</x:v>
      </x:c>
      <x:c r="D14" s="31" t="str">
        <x:v>功能</x:v>
      </x:c>
      <x:c r="E14" s="31" t="str">
        <x:v>P0</x:v>
      </x:c>
      <x:c r="F14" s="32" t="str">
        <x:v>输出背景池</x:v>
      </x:c>
      <x:c r="G14" s="32" t="str">
        <x:v>单文件任务完成</x:v>
      </x:c>
      <x:c r="H14" s="32" t="str">
        <x:v>background_fraction=0.60</x:v>
      </x:c>
      <x:c r="I14" s="32" t="str">
        <x:v>返回稳定通道、背景方法和阈值配置</x:v>
      </x:c>
      <x:c r="J14" s="31" t="str">
        <x:v>手工</x:v>
      </x:c>
      <x:c r="K14" s="31" t="str">
        <x:v>待执行</x:v>
      </x:c>
      <x:c r="L14" s="33" t="str">
        <x:v>背景可解释</x:v>
      </x:c>
    </x:row>
    <x:row r="15" ht="60" customHeight="1">
      <x:c r="A15" s="30" t="str">
        <x:v>DAS-F-009</x:v>
      </x:c>
      <x:c r="B15" s="31" t="str">
        <x:v>REQ-08</x:v>
      </x:c>
      <x:c r="C15" s="31" t="str">
        <x:v>初筛</x:v>
      </x:c>
      <x:c r="D15" s="31" t="str">
        <x:v>功能</x:v>
      </x:c>
      <x:c r="E15" s="31" t="str">
        <x:v>P0</x:v>
      </x:c>
      <x:c r="F15" s="32" t="str">
        <x:v>正常数据不误报</x:v>
      </x:c>
      <x:c r="G15" s="32" t="str">
        <x:v>合成正常TDMS</x:v>
      </x:c>
      <x:c r="H15" s="32" t="str">
        <x:v>8通道噪声数据分析</x:v>
      </x:c>
      <x:c r="I15" s="32" t="str">
        <x:v>candidates和candidate_regions均为空</x:v>
      </x:c>
      <x:c r="J15" s="31" t="str">
        <x:v>自动化</x:v>
      </x:c>
      <x:c r="K15" s="31" t="str">
        <x:v>已通过（自动化）</x:v>
      </x:c>
      <x:c r="L15" s="33" t="str">
        <x:v>误报抑制</x:v>
      </x:c>
    </x:row>
    <x:row r="16" ht="60" customHeight="1">
      <x:c r="A16" s="30" t="str">
        <x:v>DAS-F-010</x:v>
      </x:c>
      <x:c r="B16" s="31" t="str">
        <x:v>REQ-08</x:v>
      </x:c>
      <x:c r="C16" s="31" t="str">
        <x:v>初筛</x:v>
      </x:c>
      <x:c r="D16" s="31" t="str">
        <x:v>功能</x:v>
      </x:c>
      <x:c r="E16" s="31" t="str">
        <x:v>P0</x:v>
      </x:c>
      <x:c r="F16" s="32" t="str">
        <x:v>多特征异常形成候选</x:v>
      </x:c>
      <x:c r="G16" s="32" t="str">
        <x:v>合成异常TDMS</x:v>
      </x:c>
      <x:c r="H16" s="32" t="str">
        <x:v>通道6叠加40Hz</x:v>
      </x:c>
      <x:c r="I16" s="32" t="str">
        <x:v>同时满足三类判据时成为候选</x:v>
      </x:c>
      <x:c r="J16" s="31" t="str">
        <x:v>自动化</x:v>
      </x:c>
      <x:c r="K16" s="31" t="str">
        <x:v>已通过（自动化）</x:v>
      </x:c>
      <x:c r="L16" s="33" t="str">
        <x:v>持续异常</x:v>
      </x:c>
    </x:row>
    <x:row r="17" ht="60" customHeight="1">
      <x:c r="A17" s="30" t="str">
        <x:v>DAS-F-011</x:v>
      </x:c>
      <x:c r="B17" s="31" t="str">
        <x:v>REQ-09</x:v>
      </x:c>
      <x:c r="C17" s="31" t="str">
        <x:v>空间区间</x:v>
      </x:c>
      <x:c r="D17" s="31" t="str">
        <x:v>功能</x:v>
      </x:c>
      <x:c r="E17" s="31" t="str">
        <x:v>P0</x:v>
      </x:c>
      <x:c r="F17" s="32" t="str">
        <x:v>相邻候选合并</x:v>
      </x:c>
      <x:c r="G17" s="32" t="str">
        <x:v>相邻异常TDMS</x:v>
      </x:c>
      <x:c r="H17" s="32" t="str">
        <x:v>通道5、6叠加40Hz</x:v>
      </x:c>
      <x:c r="I17" s="32" t="str">
        <x:v>输出一个5-6通道区间</x:v>
      </x:c>
      <x:c r="J17" s="31" t="str">
        <x:v>自动化</x:v>
      </x:c>
      <x:c r="K17" s="31" t="str">
        <x:v>已通过（自动化）</x:v>
      </x:c>
      <x:c r="L17" s="33" t="str">
        <x:v>空间连续</x:v>
      </x:c>
    </x:row>
    <x:row r="18" ht="60" customHeight="1">
      <x:c r="A18" s="30" t="str">
        <x:v>DAS-F-012</x:v>
      </x:c>
      <x:c r="B18" s="31" t="str">
        <x:v>REQ-10</x:v>
      </x:c>
      <x:c r="C18" s="31" t="str">
        <x:v>分级</x:v>
      </x:c>
      <x:c r="D18" s="31" t="str">
        <x:v>功能</x:v>
      </x:c>
      <x:c r="E18" s="31" t="str">
        <x:v>P1</x:v>
      </x:c>
      <x:c r="F18" s="32" t="str">
        <x:v>黄色等级</x:v>
      </x:c>
      <x:c r="G18" s="32" t="str">
        <x:v>阈值可调</x:v>
      </x:c>
      <x:c r="H18" s="32" t="str">
        <x:v>刚超过默认阈值的合成数据</x:v>
      </x:c>
      <x:c r="I18" s="32" t="str">
        <x:v>等级为yellow</x:v>
      </x:c>
      <x:c r="J18" s="31" t="str">
        <x:v>手工</x:v>
      </x:c>
      <x:c r="K18" s="31" t="str">
        <x:v>待执行</x:v>
      </x:c>
      <x:c r="L18" s="33" t="str">
        <x:v>分级阈值</x:v>
      </x:c>
    </x:row>
    <x:row r="19" ht="60" customHeight="1">
      <x:c r="A19" s="30" t="str">
        <x:v>DAS-F-013</x:v>
      </x:c>
      <x:c r="B19" s="31" t="str">
        <x:v>REQ-10</x:v>
      </x:c>
      <x:c r="C19" s="31" t="str">
        <x:v>分级</x:v>
      </x:c>
      <x:c r="D19" s="31" t="str">
        <x:v>功能</x:v>
      </x:c>
      <x:c r="E19" s="31" t="str">
        <x:v>P1</x:v>
      </x:c>
      <x:c r="F19" s="32" t="str">
        <x:v>橙色等级</x:v>
      </x:c>
      <x:c r="G19" s="32" t="str">
        <x:v>阈值可调</x:v>
      </x:c>
      <x:c r="H19" s="32" t="str">
        <x:v>约1.5倍阈值合成数据</x:v>
      </x:c>
      <x:c r="I19" s="32" t="str">
        <x:v>等级为orange</x:v>
      </x:c>
      <x:c r="J19" s="31" t="str">
        <x:v>手工</x:v>
      </x:c>
      <x:c r="K19" s="31" t="str">
        <x:v>待执行</x:v>
      </x:c>
      <x:c r="L19" s="33" t="str">
        <x:v>分级阈值</x:v>
      </x:c>
    </x:row>
    <x:row r="20" ht="60" customHeight="1">
      <x:c r="A20" s="30" t="str">
        <x:v>DAS-F-014</x:v>
      </x:c>
      <x:c r="B20" s="31" t="str">
        <x:v>REQ-10</x:v>
      </x:c>
      <x:c r="C20" s="31" t="str">
        <x:v>分级</x:v>
      </x:c>
      <x:c r="D20" s="31" t="str">
        <x:v>功能</x:v>
      </x:c>
      <x:c r="E20" s="31" t="str">
        <x:v>P1</x:v>
      </x:c>
      <x:c r="F20" s="32" t="str">
        <x:v>红色等级</x:v>
      </x:c>
      <x:c r="G20" s="32" t="str">
        <x:v>阈值可调</x:v>
      </x:c>
      <x:c r="H20" s="32" t="str">
        <x:v>约2倍阈值合成数据</x:v>
      </x:c>
      <x:c r="I20" s="32" t="str">
        <x:v>等级为red</x:v>
      </x:c>
      <x:c r="J20" s="31" t="str">
        <x:v>手工</x:v>
      </x:c>
      <x:c r="K20" s="31" t="str">
        <x:v>待执行</x:v>
      </x:c>
      <x:c r="L20" s="33" t="str">
        <x:v>红色仅代表优先复核</x:v>
      </x:c>
    </x:row>
    <x:row r="21" ht="60" customHeight="1">
      <x:c r="A21" s="30" t="str">
        <x:v>DAS-F-015</x:v>
      </x:c>
      <x:c r="B21" s="31" t="str">
        <x:v>REQ-11</x:v>
      </x:c>
      <x:c r="C21" s="31" t="str">
        <x:v>频谱</x:v>
      </x:c>
      <x:c r="D21" s="31" t="str">
        <x:v>功能</x:v>
      </x:c>
      <x:c r="E21" s="31" t="str">
        <x:v>P1</x:v>
      </x:c>
      <x:c r="F21" s="32" t="str">
        <x:v>主频识别</x:v>
      </x:c>
      <x:c r="G21" s="32" t="str">
        <x:v>单频合成数据</x:v>
      </x:c>
      <x:c r="H21" s="32" t="str">
        <x:v>1000Hz采样、40Hz正弦</x:v>
      </x:c>
      <x:c r="I21" s="32" t="str">
        <x:v>主频接近40Hz</x:v>
      </x:c>
      <x:c r="J21" s="31" t="str">
        <x:v>手工</x:v>
      </x:c>
      <x:c r="K21" s="31" t="str">
        <x:v>待执行</x:v>
      </x:c>
      <x:c r="L21" s="33" t="str">
        <x:v>允许频率分辨率误差</x:v>
      </x:c>
    </x:row>
    <x:row r="22" ht="60" customHeight="1">
      <x:c r="A22" s="30" t="str">
        <x:v>DAS-F-016</x:v>
      </x:c>
      <x:c r="B22" s="31" t="str">
        <x:v>REQ-12</x:v>
      </x:c>
      <x:c r="C22" s="31" t="str">
        <x:v>相干性</x:v>
      </x:c>
      <x:c r="D22" s="31" t="str">
        <x:v>功能</x:v>
      </x:c>
      <x:c r="E22" s="31" t="str">
        <x:v>P1</x:v>
      </x:c>
      <x:c r="F22" s="32" t="str">
        <x:v>相邻通道相干性</x:v>
      </x:c>
      <x:c r="G22" s="32" t="str">
        <x:v>至少3通道</x:v>
      </x:c>
      <x:c r="H22" s="32" t="str">
        <x:v>相邻同频和随机噪声组合</x:v>
      </x:c>
      <x:c r="I22" s="32" t="str">
        <x:v>同频邻居相干性更高，范围0-1</x:v>
      </x:c>
      <x:c r="J22" s="31" t="str">
        <x:v>手工</x:v>
      </x:c>
      <x:c r="K22" s="31" t="str">
        <x:v>待执行</x:v>
      </x:c>
      <x:c r="L22" s="33" t="str">
        <x:v>证据字段不单独报警</x:v>
      </x:c>
    </x:row>
    <x:row r="23" ht="60" customHeight="1">
      <x:c r="A23" s="30" t="str">
        <x:v>DAS-F-017</x:v>
      </x:c>
      <x:c r="B23" s="31" t="str">
        <x:v>REQ-13</x:v>
      </x:c>
      <x:c r="C23" s="31" t="str">
        <x:v>多窗口预警</x:v>
      </x:c>
      <x:c r="D23" s="31" t="str">
        <x:v>功能</x:v>
      </x:c>
      <x:c r="E23" s="31" t="str">
        <x:v>P0</x:v>
      </x:c>
      <x:c r="F23" s="32" t="str">
        <x:v>重复候选升级预警</x:v>
      </x:c>
      <x:c r="G23" s="32" t="str">
        <x:v>持续异常TDMS</x:v>
      </x:c>
      <x:c r="H23" s="32" t="str">
        <x:v>3窗口，最少连续2窗</x:v>
      </x:c>
      <x:c r="I23" s="32" t="str">
        <x:v>通道6出现alerts且连续数为3</x:v>
      </x:c>
      <x:c r="J23" s="31" t="str">
        <x:v>自动化</x:v>
      </x:c>
      <x:c r="K23" s="31" t="str">
        <x:v>已通过（自动化）</x:v>
      </x:c>
      <x:c r="L23" s="33" t="str">
        <x:v>持续性</x:v>
      </x:c>
    </x:row>
    <x:row r="24" ht="60" customHeight="1">
      <x:c r="A24" s="30" t="str">
        <x:v>DAS-F-018</x:v>
      </x:c>
      <x:c r="B24" s="31" t="str">
        <x:v>REQ-13</x:v>
      </x:c>
      <x:c r="C24" s="31" t="str">
        <x:v>多窗口预警</x:v>
      </x:c>
      <x:c r="D24" s="31" t="str">
        <x:v>功能</x:v>
      </x:c>
      <x:c r="E24" s="31" t="str">
        <x:v>P0</x:v>
      </x:c>
      <x:c r="F24" s="32" t="str">
        <x:v>瞬时异常不升级</x:v>
      </x:c>
      <x:c r="G24" s="32" t="str">
        <x:v>瞬时异常TDMS</x:v>
      </x:c>
      <x:c r="H24" s="32" t="str">
        <x:v>仅第1窗口异常</x:v>
      </x:c>
      <x:c r="I24" s="32" t="str">
        <x:v>alerts为空，保留transient记录</x:v>
      </x:c>
      <x:c r="J24" s="31" t="str">
        <x:v>自动化</x:v>
      </x:c>
      <x:c r="K24" s="31" t="str">
        <x:v>已通过（自动化）</x:v>
      </x:c>
      <x:c r="L24" s="33" t="str">
        <x:v>抑制偶发误报</x:v>
      </x:c>
    </x:row>
    <x:row r="25" ht="60" customHeight="1">
      <x:c r="A25" s="30" t="str">
        <x:v>DAS-F-019</x:v>
      </x:c>
      <x:c r="B25" s="31" t="str">
        <x:v>REQ-14</x:v>
      </x:c>
      <x:c r="C25" s="31" t="str">
        <x:v>跨文件预警</x:v>
      </x:c>
      <x:c r="D25" s="31" t="str">
        <x:v>功能</x:v>
      </x:c>
      <x:c r="E25" s="31" t="str">
        <x:v>P0</x:v>
      </x:c>
      <x:c r="F25" s="32" t="str">
        <x:v>跨文件重复候选升级</x:v>
      </x:c>
      <x:c r="G25" s="32" t="str">
        <x:v>3个连续合成文件</x:v>
      </x:c>
      <x:c r="H25" s="32" t="str">
        <x:v>通道6每文件异常</x:v>
      </x:c>
      <x:c r="I25" s="32" t="str">
        <x:v>alerts中连续文件数为3</x:v>
      </x:c>
      <x:c r="J25" s="31" t="str">
        <x:v>自动化</x:v>
      </x:c>
      <x:c r="K25" s="31" t="str">
        <x:v>已通过（自动化）</x:v>
      </x:c>
      <x:c r="L25" s="33" t="str">
        <x:v>文件持续性</x:v>
      </x:c>
    </x:row>
    <x:row r="26" ht="60" customHeight="1">
      <x:c r="A26" s="30" t="str">
        <x:v>DAS-F-020</x:v>
      </x:c>
      <x:c r="B26" s="31" t="str">
        <x:v>REQ-14</x:v>
      </x:c>
      <x:c r="C26" s="31" t="str">
        <x:v>跨文件预警</x:v>
      </x:c>
      <x:c r="D26" s="31" t="str">
        <x:v>功能</x:v>
      </x:c>
      <x:c r="E26" s="31" t="str">
        <x:v>P0</x:v>
      </x:c>
      <x:c r="F26" s="32" t="str">
        <x:v>真实连续文件不强行报警</x:v>
      </x:c>
      <x:c r="G26" s="32" t="str">
        <x:v>真实3文件可读</x:v>
      </x:c>
      <x:c r="H26" s="32" t="str">
        <x:v>00-00至00-02，1-24通道</x:v>
      </x:c>
      <x:c r="I26" s="32" t="str">
        <x:v>任务完成；无候选则alerts为空</x:v>
      </x:c>
      <x:c r="J26" s="31" t="str">
        <x:v>手工</x:v>
      </x:c>
      <x:c r="K26" s="31" t="str">
        <x:v>已通过（手工）</x:v>
      </x:c>
      <x:c r="L26" s="33" t="str">
        <x:v>真实回放</x:v>
      </x:c>
    </x:row>
    <x:row r="27" ht="60" customHeight="1">
      <x:c r="A27" s="30" t="str">
        <x:v>DAS-F-021</x:v>
      </x:c>
      <x:c r="B27" s="31" t="str">
        <x:v>REQ-15</x:v>
      </x:c>
      <x:c r="C27" s="31" t="str">
        <x:v>网页展示</x:v>
      </x:c>
      <x:c r="D27" s="31" t="str">
        <x:v>功能</x:v>
      </x:c>
      <x:c r="E27" s="31" t="str">
        <x:v>P1</x:v>
      </x:c>
      <x:c r="F27" s="32" t="str">
        <x:v>单文件RMS图</x:v>
      </x:c>
      <x:c r="G27" s="32" t="str">
        <x:v>浏览器与Plotly可用</x:v>
      </x:c>
      <x:c r="H27" s="32" t="str">
        <x:v>完成单文件任务</x:v>
      </x:c>
      <x:c r="I27" s="32" t="str">
        <x:v>显示RMS柱、中位数线和候选颜色</x:v>
      </x:c>
      <x:c r="J27" s="31" t="str">
        <x:v>手工</x:v>
      </x:c>
      <x:c r="K27" s="31" t="str">
        <x:v>待执行</x:v>
      </x:c>
      <x:c r="L27" s="33" t="str">
        <x:v>UI</x:v>
      </x:c>
    </x:row>
    <x:row r="28" ht="60" customHeight="1">
      <x:c r="A28" s="30" t="str">
        <x:v>DAS-F-022</x:v>
      </x:c>
      <x:c r="B28" s="31" t="str">
        <x:v>REQ-15</x:v>
      </x:c>
      <x:c r="C28" s="31" t="str">
        <x:v>网页展示</x:v>
      </x:c>
      <x:c r="D28" s="31" t="str">
        <x:v>功能</x:v>
      </x:c>
      <x:c r="E28" s="31" t="str">
        <x:v>P1</x:v>
      </x:c>
      <x:c r="F28" s="32" t="str">
        <x:v>跨文件概览图</x:v>
      </x:c>
      <x:c r="G28" s="32" t="str">
        <x:v>跨文件任务完成</x:v>
      </x:c>
      <x:c r="H28" s="32" t="str">
        <x:v>3文件均0候选</x:v>
      </x:c>
      <x:c r="I28" s="32" t="str">
        <x:v>显示绿色0标记与最终预警数</x:v>
      </x:c>
      <x:c r="J28" s="31" t="str">
        <x:v>手工</x:v>
      </x:c>
      <x:c r="K28" s="31" t="str">
        <x:v>已通过（手工）</x:v>
      </x:c>
      <x:c r="L28" s="33" t="str">
        <x:v>DEF-002已修复</x:v>
      </x:c>
    </x:row>
    <x:row r="29" ht="60" customHeight="1">
      <x:c r="A29" s="30" t="str">
        <x:v>DAS-F-023</x:v>
      </x:c>
      <x:c r="B29" s="31" t="str">
        <x:v>REQ-16</x:v>
      </x:c>
      <x:c r="C29" s="31" t="str">
        <x:v>导出</x:v>
      </x:c>
      <x:c r="D29" s="31" t="str">
        <x:v>功能</x:v>
      </x:c>
      <x:c r="E29" s="31" t="str">
        <x:v>P1</x:v>
      </x:c>
      <x:c r="F29" s="32" t="str">
        <x:v>下载逐通道CSV</x:v>
      </x:c>
      <x:c r="G29" s="32" t="str">
        <x:v>单文件completed任务</x:v>
      </x:c>
      <x:c r="H29" s="32" t="str">
        <x:v>GET channel-metrics.csv</x:v>
      </x:c>
      <x:c r="I29" s="32" t="str">
        <x:v>200，列头完整，行数等于通道数</x:v>
      </x:c>
      <x:c r="J29" s="31" t="str">
        <x:v>自动化</x:v>
      </x:c>
      <x:c r="K29" s="31" t="str">
        <x:v>已通过（自动化）</x:v>
      </x:c>
      <x:c r="L29" s="33" t="str">
        <x:v>不导出原始TDMS</x:v>
      </x:c>
    </x:row>
    <x:row r="30" ht="60" customHeight="1">
      <x:c r="A30" s="30" t="str">
        <x:v>DAS-F-024</x:v>
      </x:c>
      <x:c r="B30" s="31" t="str">
        <x:v>REQ-17</x:v>
      </x:c>
      <x:c r="C30" s="31" t="str">
        <x:v>SQLite</x:v>
      </x:c>
      <x:c r="D30" s="31" t="str">
        <x:v>功能</x:v>
      </x:c>
      <x:c r="E30" s="31" t="str">
        <x:v>P1</x:v>
      </x:c>
      <x:c r="F30" s="32" t="str">
        <x:v>重启后查询历史任务</x:v>
      </x:c>
      <x:c r="G30" s="32" t="str">
        <x:v>存在completed任务</x:v>
      </x:c>
      <x:c r="H30" s="32" t="str">
        <x:v>重启服务后查询job_id</x:v>
      </x:c>
      <x:c r="I30" s="32" t="str">
        <x:v>请求、状态和结果摘要仍可查询</x:v>
      </x:c>
      <x:c r="J30" s="31" t="str">
        <x:v>手工</x:v>
      </x:c>
      <x:c r="K30" s="31" t="str">
        <x:v>待执行</x:v>
      </x:c>
      <x:c r="L30" s="33" t="str">
        <x:v>单机SQLite</x:v>
      </x:c>
    </x:row>
    <x:row r="31" ht="60" customHeight="1">
      <x:c r="A31" s="30" t="str">
        <x:v>DAS-F-025</x:v>
      </x:c>
      <x:c r="B31" s="31" t="str">
        <x:v>REQ-18</x:v>
      </x:c>
      <x:c r="C31" s="31" t="str">
        <x:v>Linux日志</x:v>
      </x:c>
      <x:c r="D31" s="31" t="str">
        <x:v>功能</x:v>
      </x:c>
      <x:c r="E31" s="31" t="str">
        <x:v>P0</x:v>
      </x:c>
      <x:c r="F31" s="32" t="str">
        <x:v>成功日志可追溯</x:v>
      </x:c>
      <x:c r="G31" s="32" t="str">
        <x:v>Linux服务运行</x:v>
      </x:c>
      <x:c r="H31" s="32" t="str">
        <x:v>创建任务并按job_id查日志</x:v>
      </x:c>
      <x:c r="I31" s="32" t="str">
        <x:v>含started、completed、参数和耗时</x:v>
      </x:c>
      <x:c r="J31" s="31" t="str">
        <x:v>手工</x:v>
      </x:c>
      <x:c r="K31" s="31" t="str">
        <x:v>已通过（手工）</x:v>
      </x:c>
      <x:c r="L31" s="33" t="str">
        <x:v>job-90541292daa9</x:v>
      </x:c>
    </x:row>
    <x:row r="32" ht="60" customHeight="1">
      <x:c r="A32" s="30" t="str">
        <x:v>DAS-F-026</x:v>
      </x:c>
      <x:c r="B32" s="31" t="str">
        <x:v>REQ-18</x:v>
      </x:c>
      <x:c r="C32" s="31" t="str">
        <x:v>Linux日志</x:v>
      </x:c>
      <x:c r="D32" s="31" t="str">
        <x:v>功能</x:v>
      </x:c>
      <x:c r="E32" s="31" t="str">
        <x:v>P0</x:v>
      </x:c>
      <x:c r="F32" s="32" t="str">
        <x:v>失败日志可追溯</x:v>
      </x:c>
      <x:c r="G32" s="32" t="str">
        <x:v>构造越界任务</x:v>
      </x:c>
      <x:c r="H32" s="32" t="str">
        <x:v>start=60000,n=10000</x:v>
      </x:c>
      <x:c r="I32" s="32" t="str">
        <x:v>任务failed且日志含DataAccessError</x:v>
      </x:c>
      <x:c r="J32" s="31" t="str">
        <x:v>自动化</x:v>
      </x:c>
      <x:c r="K32" s="31" t="str">
        <x:v>已通过（自动化）</x:v>
      </x:c>
      <x:c r="L32" s="33" t="str">
        <x:v>错误链路</x:v>
      </x:c>
    </x:row>
    <x:row r="33" ht="60" customHeight="1">
      <x:c r="A33" s="30" t="str">
        <x:v>DAS-F-027</x:v>
      </x:c>
      <x:c r="B33" s="31" t="str">
        <x:v>REQ-19</x:v>
      </x:c>
      <x:c r="C33" s="31" t="str">
        <x:v>数据保护</x:v>
      </x:c>
      <x:c r="D33" s="31" t="str">
        <x:v>功能</x:v>
      </x:c>
      <x:c r="E33" s="31" t="str">
        <x:v>P0</x:v>
      </x:c>
      <x:c r="F33" s="32" t="str">
        <x:v>原始TDMS只读</x:v>
      </x:c>
      <x:c r="G33" s="32" t="str">
        <x:v>可记录hash</x:v>
      </x:c>
      <x:c r="H33" s="32" t="str">
        <x:v>分析前后比较SHA256</x:v>
      </x:c>
      <x:c r="I33" s="32" t="str">
        <x:v>hash、大小、mtime不变</x:v>
      </x:c>
      <x:c r="J33" s="31" t="str">
        <x:v>手工</x:v>
      </x:c>
      <x:c r="K33" s="31" t="str">
        <x:v>待执行</x:v>
      </x:c>
      <x:c r="L33" s="33" t="str">
        <x:v>数据完整性</x:v>
      </x:c>
    </x:row>
    <x:row r="34" ht="60" customHeight="1">
      <x:c r="A34" s="30" t="str">
        <x:v>DAS-F-028</x:v>
      </x:c>
      <x:c r="B34" s="31" t="str">
        <x:v>REQ-20</x:v>
      </x:c>
      <x:c r="C34" s="31" t="str">
        <x:v>网页提示</x:v>
      </x:c>
      <x:c r="D34" s="31" t="str">
        <x:v>功能</x:v>
      </x:c>
      <x:c r="E34" s="31" t="str">
        <x:v>P1</x:v>
      </x:c>
      <x:c r="F34" s="32" t="str">
        <x:v>错误信息可读</x:v>
      </x:c>
      <x:c r="G34" s="32" t="str">
        <x:v>浏览器打开</x:v>
      </x:c>
      <x:c r="H34" s="32" t="str">
        <x:v>提交n_samples=60000</x:v>
      </x:c>
      <x:c r="I34" s="32" t="str">
        <x:v>显示字段和原因，不显示object Object</x:v>
      </x:c>
      <x:c r="J34" s="31" t="str">
        <x:v>手工</x:v>
      </x:c>
      <x:c r="K34" s="31" t="str">
        <x:v>已通过（手工）</x:v>
      </x:c>
      <x:c r="L34" s="33" t="str">
        <x:v>DEF-001已修复</x:v>
      </x:c>
    </x:row>
    <x:row r="35" ht="60" customHeight="1">
      <x:c r="A35" s="30" t="str">
        <x:v>DAS-B-001</x:v>
      </x:c>
      <x:c r="B35" s="31" t="str">
        <x:v>REQ-21</x:v>
      </x:c>
      <x:c r="C35" s="31" t="str">
        <x:v>路径安全</x:v>
      </x:c>
      <x:c r="D35" s="31" t="str">
        <x:v>安全/边界</x:v>
      </x:c>
      <x:c r="E35" s="31" t="str">
        <x:v>P0</x:v>
      </x:c>
      <x:c r="F35" s="32" t="str">
        <x:v>拒绝路径穿越</x:v>
      </x:c>
      <x:c r="G35" s="32" t="str">
        <x:v>服务可用</x:v>
      </x:c>
      <x:c r="H35" s="32" t="str">
        <x:v>relative_path=../private.tdms</x:v>
      </x:c>
      <x:c r="I35" s="32" t="str">
        <x:v>拒绝且不访问根目录外文件</x:v>
      </x:c>
      <x:c r="J35" s="31" t="str">
        <x:v>自动化</x:v>
      </x:c>
      <x:c r="K35" s="31" t="str">
        <x:v>已通过（自动化）</x:v>
      </x:c>
      <x:c r="L35" s="33" t="str">
        <x:v>安全</x:v>
      </x:c>
    </x:row>
    <x:row r="36" ht="60" customHeight="1">
      <x:c r="A36" s="30" t="str">
        <x:v>DAS-B-002</x:v>
      </x:c>
      <x:c r="B36" s="31" t="str">
        <x:v>REQ-21</x:v>
      </x:c>
      <x:c r="C36" s="31" t="str">
        <x:v>路径安全</x:v>
      </x:c>
      <x:c r="D36" s="31" t="str">
        <x:v>安全/边界</x:v>
      </x:c>
      <x:c r="E36" s="31" t="str">
        <x:v>P0</x:v>
      </x:c>
      <x:c r="F36" s="32" t="str">
        <x:v>拒绝绝对路径</x:v>
      </x:c>
      <x:c r="G36" s="32" t="str">
        <x:v>服务可用</x:v>
      </x:c>
      <x:c r="H36" s="32" t="str">
        <x:v>C:/Windows/file.tdms和/etc/passwd</x:v>
      </x:c>
      <x:c r="I36" s="32" t="str">
        <x:v>请求被拒绝</x:v>
      </x:c>
      <x:c r="J36" s="31" t="str">
        <x:v>手工</x:v>
      </x:c>
      <x:c r="K36" s="31" t="str">
        <x:v>待执行</x:v>
      </x:c>
      <x:c r="L36" s="33" t="str">
        <x:v>跨平台路径</x:v>
      </x:c>
    </x:row>
    <x:row r="37" ht="60" customHeight="1">
      <x:c r="A37" s="30" t="str">
        <x:v>DAS-B-003</x:v>
      </x:c>
      <x:c r="B37" s="31" t="str">
        <x:v>REQ-21</x:v>
      </x:c>
      <x:c r="C37" s="31" t="str">
        <x:v>路径安全</x:v>
      </x:c>
      <x:c r="D37" s="31" t="str">
        <x:v>安全/边界</x:v>
      </x:c>
      <x:c r="E37" s="31" t="str">
        <x:v>P0</x:v>
      </x:c>
      <x:c r="F37" s="32" t="str">
        <x:v>拒绝非TDMS扩展名</x:v>
      </x:c>
      <x:c r="G37" s="32" t="str">
        <x:v>服务可用</x:v>
      </x:c>
      <x:c r="H37" s="32" t="str">
        <x:v>00/readme.txt</x:v>
      </x:c>
      <x:c r="I37" s="32" t="str">
        <x:v>请求被拒绝，提示只允许TDMS</x:v>
      </x:c>
      <x:c r="J37" s="31" t="str">
        <x:v>手工</x:v>
      </x:c>
      <x:c r="K37" s="31" t="str">
        <x:v>待执行</x:v>
      </x:c>
      <x:c r="L37" s="33" t="str">
        <x:v>白名单</x:v>
      </x:c>
    </x:row>
    <x:row r="38" ht="60" customHeight="1">
      <x:c r="A38" s="30" t="str">
        <x:v>DAS-B-004</x:v>
      </x:c>
      <x:c r="B38" s="31" t="str">
        <x:v>REQ-21</x:v>
      </x:c>
      <x:c r="C38" s="31" t="str">
        <x:v>数据访问</x:v>
      </x:c>
      <x:c r="D38" s="31" t="str">
        <x:v>边界</x:v>
      </x:c>
      <x:c r="E38" s="31" t="str">
        <x:v>P0</x:v>
      </x:c>
      <x:c r="F38" s="32" t="str">
        <x:v>不存在文件</x:v>
      </x:c>
      <x:c r="G38" s="32" t="str">
        <x:v>服务可用</x:v>
      </x:c>
      <x:c r="H38" s="32" t="str">
        <x:v>00/not-exist.tdms</x:v>
      </x:c>
      <x:c r="I38" s="32" t="str">
        <x:v>400且不创建任务</x:v>
      </x:c>
      <x:c r="J38" s="31" t="str">
        <x:v>手工</x:v>
      </x:c>
      <x:c r="K38" s="31" t="str">
        <x:v>待执行</x:v>
      </x:c>
      <x:c r="L38" s="33" t="str">
        <x:v>前置校验</x:v>
      </x:c>
    </x:row>
    <x:row r="39" ht="60" customHeight="1">
      <x:c r="A39" s="30" t="str">
        <x:v>DAS-B-005</x:v>
      </x:c>
      <x:c r="B39" s="31" t="str">
        <x:v>REQ-22</x:v>
      </x:c>
      <x:c r="C39" s="31" t="str">
        <x:v>数据目录</x:v>
      </x:c>
      <x:c r="D39" s="31" t="str">
        <x:v>异常</x:v>
      </x:c>
      <x:c r="E39" s="31" t="str">
        <x:v>P1</x:v>
      </x:c>
      <x:c r="F39" s="32" t="str">
        <x:v>根目录不可用</x:v>
      </x:c>
      <x:c r="G39" s="32" t="str">
        <x:v>临时修改数据根目录</x:v>
      </x:c>
      <x:c r="H39" s="32" t="str">
        <x:v>GET files</x:v>
      </x:c>
      <x:c r="I39" s="32" t="str">
        <x:v>503受控提示，进程不崩溃</x:v>
      </x:c>
      <x:c r="J39" s="31" t="str">
        <x:v>手工</x:v>
      </x:c>
      <x:c r="K39" s="31" t="str">
        <x:v>待执行</x:v>
      </x:c>
      <x:c r="L39" s="33" t="str">
        <x:v>恢复环境变量</x:v>
      </x:c>
    </x:row>
    <x:row r="40" ht="60" customHeight="1">
      <x:c r="A40" s="30" t="str">
        <x:v>DAS-B-006</x:v>
      </x:c>
      <x:c r="B40" s="31" t="str">
        <x:v>REQ-23</x:v>
      </x:c>
      <x:c r="C40" s="31" t="str">
        <x:v>请求模型</x:v>
      </x:c>
      <x:c r="D40" s="31" t="str">
        <x:v>边界</x:v>
      </x:c>
      <x:c r="E40" s="31" t="str">
        <x:v>P0</x:v>
      </x:c>
      <x:c r="F40" s="32" t="str">
        <x:v>空relative_path</x:v>
      </x:c>
      <x:c r="G40" s="32" t="str">
        <x:v>服务可用</x:v>
      </x:c>
      <x:c r="H40" s="32" t="str">
        <x:v>relative_path为空</x:v>
      </x:c>
      <x:c r="I40" s="32" t="str">
        <x:v>422且不创建任务</x:v>
      </x:c>
      <x:c r="J40" s="31" t="str">
        <x:v>手工</x:v>
      </x:c>
      <x:c r="K40" s="31" t="str">
        <x:v>待执行</x:v>
      </x:c>
      <x:c r="L40" s="33" t="str">
        <x:v>契约</x:v>
      </x:c>
    </x:row>
    <x:row r="41" ht="60" customHeight="1">
      <x:c r="A41" s="30" t="str">
        <x:v>DAS-B-007</x:v>
      </x:c>
      <x:c r="B41" s="31" t="str">
        <x:v>REQ-24</x:v>
      </x:c>
      <x:c r="C41" s="31" t="str">
        <x:v>采样窗口</x:v>
      </x:c>
      <x:c r="D41" s="31" t="str">
        <x:v>边界</x:v>
      </x:c>
      <x:c r="E41" s="31" t="str">
        <x:v>P0</x:v>
      </x:c>
      <x:c r="F41" s="32" t="str">
        <x:v>超过任务样点上限</x:v>
      </x:c>
      <x:c r="G41" s="32" t="str">
        <x:v>服务可用</x:v>
      </x:c>
      <x:c r="H41" s="32" t="str">
        <x:v>n_samples=50001</x:v>
      </x:c>
      <x:c r="I41" s="32" t="str">
        <x:v>422，不读取TDMS</x:v>
      </x:c>
      <x:c r="J41" s="31" t="str">
        <x:v>自动化</x:v>
      </x:c>
      <x:c r="K41" s="31" t="str">
        <x:v>已通过（自动化）</x:v>
      </x:c>
      <x:c r="L41" s="33" t="str">
        <x:v>上限50000</x:v>
      </x:c>
    </x:row>
    <x:row r="42" ht="60" customHeight="1">
      <x:c r="A42" s="30" t="str">
        <x:v>DAS-B-008</x:v>
      </x:c>
      <x:c r="B42" s="31" t="str">
        <x:v>REQ-24</x:v>
      </x:c>
      <x:c r="C42" s="31" t="str">
        <x:v>采样窗口</x:v>
      </x:c>
      <x:c r="D42" s="31" t="str">
        <x:v>边界</x:v>
      </x:c>
      <x:c r="E42" s="31" t="str">
        <x:v>P1</x:v>
      </x:c>
      <x:c r="F42" s="32" t="str">
        <x:v>窗口恰好触及物理长度</x:v>
      </x:c>
      <x:c r="G42" s="32" t="str">
        <x:v>60000样点TDMS</x:v>
      </x:c>
      <x:c r="H42" s="32" t="str">
        <x:v>start=0,n=60000</x:v>
      </x:c>
      <x:c r="I42" s="32" t="str">
        <x:v>当前API先因50000上限拒绝，规则顺序正确</x:v>
      </x:c>
      <x:c r="J42" s="31" t="str">
        <x:v>手工</x:v>
      </x:c>
      <x:c r="K42" s="31" t="str">
        <x:v>待执行</x:v>
      </x:c>
      <x:c r="L42" s="33" t="str">
        <x:v>边界规则</x:v>
      </x:c>
    </x:row>
    <x:row r="43" ht="60" customHeight="1">
      <x:c r="A43" s="30" t="str">
        <x:v>DAS-B-009</x:v>
      </x:c>
      <x:c r="B43" s="31" t="str">
        <x:v>REQ-24</x:v>
      </x:c>
      <x:c r="C43" s="31" t="str">
        <x:v>采样窗口</x:v>
      </x:c>
      <x:c r="D43" s="31" t="str">
        <x:v>边界</x:v>
      </x:c>
      <x:c r="E43" s="31" t="str">
        <x:v>P0</x:v>
      </x:c>
      <x:c r="F43" s="32" t="str">
        <x:v>起点等于样点长度</x:v>
      </x:c>
      <x:c r="G43" s="32" t="str">
        <x:v>60000样点TDMS</x:v>
      </x:c>
      <x:c r="H43" s="32" t="str">
        <x:v>start=60000,n=100</x:v>
      </x:c>
      <x:c r="I43" s="32" t="str">
        <x:v>任务failed，提示超过单通道长度</x:v>
      </x:c>
      <x:c r="J43" s="31" t="str">
        <x:v>自动化</x:v>
      </x:c>
      <x:c r="K43" s="31" t="str">
        <x:v>已通过（自动化）</x:v>
      </x:c>
      <x:c r="L43" s="33" t="str">
        <x:v>运行时边界</x:v>
      </x:c>
    </x:row>
    <x:row r="44" ht="60" customHeight="1">
      <x:c r="A44" s="30" t="str">
        <x:v>DAS-B-010</x:v>
      </x:c>
      <x:c r="B44" s="31" t="str">
        <x:v>REQ-24</x:v>
      </x:c>
      <x:c r="C44" s="31" t="str">
        <x:v>采样窗口</x:v>
      </x:c>
      <x:c r="D44" s="31" t="str">
        <x:v>边界</x:v>
      </x:c>
      <x:c r="E44" s="31" t="str">
        <x:v>P0</x:v>
      </x:c>
      <x:c r="F44" s="32" t="str">
        <x:v>起点加窗口越界</x:v>
      </x:c>
      <x:c r="G44" s="32" t="str">
        <x:v>60000样点TDMS</x:v>
      </x:c>
      <x:c r="H44" s="32" t="str">
        <x:v>start=59950,n=100</x:v>
      </x:c>
      <x:c r="I44" s="32" t="str">
        <x:v>任务failed，不返回部分数据</x:v>
      </x:c>
      <x:c r="J44" s="31" t="str">
        <x:v>手工</x:v>
      </x:c>
      <x:c r="K44" s="31" t="str">
        <x:v>待执行</x:v>
      </x:c>
      <x:c r="L44" s="33" t="str">
        <x:v>末端越界</x:v>
      </x:c>
    </x:row>
    <x:row r="45" ht="60" customHeight="1">
      <x:c r="A45" s="30" t="str">
        <x:v>DAS-B-011</x:v>
      </x:c>
      <x:c r="B45" s="31" t="str">
        <x:v>REQ-25</x:v>
      </x:c>
      <x:c r="C45" s="31" t="str">
        <x:v>通道范围</x:v>
      </x:c>
      <x:c r="D45" s="31" t="str">
        <x:v>边界</x:v>
      </x:c>
      <x:c r="E45" s="31" t="str">
        <x:v>P0</x:v>
      </x:c>
      <x:c r="F45" s="32" t="str">
        <x:v>结束通道小于起始通道</x:v>
      </x:c>
      <x:c r="G45" s="32" t="str">
        <x:v>服务可用</x:v>
      </x:c>
      <x:c r="H45" s="32" t="str">
        <x:v>start=24,end=1</x:v>
      </x:c>
      <x:c r="I45" s="32" t="str">
        <x:v>受控失败，提示范围错误</x:v>
      </x:c>
      <x:c r="J45" s="31" t="str">
        <x:v>手工</x:v>
      </x:c>
      <x:c r="K45" s="31" t="str">
        <x:v>待执行</x:v>
      </x:c>
      <x:c r="L45" s="33" t="str">
        <x:v>业务校验</x:v>
      </x:c>
    </x:row>
    <x:row r="46" ht="60" customHeight="1">
      <x:c r="A46" s="30" t="str">
        <x:v>DAS-B-012</x:v>
      </x:c>
      <x:c r="B46" s="31" t="str">
        <x:v>REQ-25</x:v>
      </x:c>
      <x:c r="C46" s="31" t="str">
        <x:v>通道范围</x:v>
      </x:c>
      <x:c r="D46" s="31" t="str">
        <x:v>边界</x:v>
      </x:c>
      <x:c r="E46" s="31" t="str">
        <x:v>P0</x:v>
      </x:c>
      <x:c r="F46" s="32" t="str">
        <x:v>超过逻辑通道数</x:v>
      </x:c>
      <x:c r="G46" s="32" t="str">
        <x:v>真实TDMS有4000逻辑通道</x:v>
      </x:c>
      <x:c r="H46" s="32" t="str">
        <x:v>end=4001</x:v>
      </x:c>
      <x:c r="I46" s="32" t="str">
        <x:v>受控失败，不越界读取</x:v>
      </x:c>
      <x:c r="J46" s="31" t="str">
        <x:v>手工</x:v>
      </x:c>
      <x:c r="K46" s="31" t="str">
        <x:v>待执行</x:v>
      </x:c>
      <x:c r="L46" s="33" t="str">
        <x:v>文件级校验</x:v>
      </x:c>
    </x:row>
    <x:row r="47" ht="60" customHeight="1">
      <x:c r="A47" s="30" t="str">
        <x:v>DAS-B-013</x:v>
      </x:c>
      <x:c r="B47" s="31" t="str">
        <x:v>REQ-25</x:v>
      </x:c>
      <x:c r="C47" s="31" t="str">
        <x:v>通道范围</x:v>
      </x:c>
      <x:c r="D47" s="31" t="str">
        <x:v>边界</x:v>
      </x:c>
      <x:c r="E47" s="31" t="str">
        <x:v>P0</x:v>
      </x:c>
      <x:c r="F47" s="32" t="str">
        <x:v>起始通道为0</x:v>
      </x:c>
      <x:c r="G47" s="32" t="str">
        <x:v>服务可用</x:v>
      </x:c>
      <x:c r="H47" s="32" t="str">
        <x:v>channel_start=0</x:v>
      </x:c>
      <x:c r="I47" s="32" t="str">
        <x:v>422且不创建任务</x:v>
      </x:c>
      <x:c r="J47" s="31" t="str">
        <x:v>手工</x:v>
      </x:c>
      <x:c r="K47" s="31" t="str">
        <x:v>待执行</x:v>
      </x:c>
      <x:c r="L47" s="33" t="str">
        <x:v>通道从1起</x:v>
      </x:c>
    </x:row>
    <x:row r="48" ht="60" customHeight="1">
      <x:c r="A48" s="30" t="str">
        <x:v>DAS-B-014</x:v>
      </x:c>
      <x:c r="B48" s="31" t="str">
        <x:v>REQ-26</x:v>
      </x:c>
      <x:c r="C48" s="31" t="str">
        <x:v>背景参数</x:v>
      </x:c>
      <x:c r="D48" s="31" t="str">
        <x:v>边界</x:v>
      </x:c>
      <x:c r="E48" s="31" t="str">
        <x:v>P1</x:v>
      </x:c>
      <x:c r="F48" s="32" t="str">
        <x:v>背景比例退化值</x:v>
      </x:c>
      <x:c r="G48" s="32" t="str">
        <x:v>服务可用</x:v>
      </x:c>
      <x:c r="H48" s="32" t="str">
        <x:v>0、1、负数、&gt;1</x:v>
      </x:c>
      <x:c r="I48" s="32" t="str">
        <x:v>受控失败，提示0和1之间</x:v>
      </x:c>
      <x:c r="J48" s="31" t="str">
        <x:v>手工</x:v>
      </x:c>
      <x:c r="K48" s="31" t="str">
        <x:v>待执行</x:v>
      </x:c>
      <x:c r="L48" s="33" t="str">
        <x:v>背景池</x:v>
      </x:c>
    </x:row>
    <x:row r="49" ht="60" customHeight="1">
      <x:c r="A49" s="30" t="str">
        <x:v>DAS-B-015</x:v>
      </x:c>
      <x:c r="B49" s="31" t="str">
        <x:v>REQ-26</x:v>
      </x:c>
      <x:c r="C49" s="31" t="str">
        <x:v>频段参数</x:v>
      </x:c>
      <x:c r="D49" s="31" t="str">
        <x:v>边界</x:v>
      </x:c>
      <x:c r="E49" s="31" t="str">
        <x:v>P1</x:v>
      </x:c>
      <x:c r="F49" s="32" t="str">
        <x:v>频段反转</x:v>
      </x:c>
      <x:c r="G49" s="32" t="str">
        <x:v>服务可用</x:v>
      </x:c>
      <x:c r="H49" s="32" t="str">
        <x:v>low=120,high=2</x:v>
      </x:c>
      <x:c r="I49" s="32" t="str">
        <x:v>受控失败，高频必须大于低频</x:v>
      </x:c>
      <x:c r="J49" s="31" t="str">
        <x:v>手工</x:v>
      </x:c>
      <x:c r="K49" s="31" t="str">
        <x:v>待执行</x:v>
      </x:c>
      <x:c r="L49" s="33" t="str">
        <x:v>空频段</x:v>
      </x:c>
    </x:row>
    <x:row r="50" ht="60" customHeight="1">
      <x:c r="A50" s="30" t="str">
        <x:v>DAS-B-016</x:v>
      </x:c>
      <x:c r="B50" s="31" t="str">
        <x:v>REQ-26</x:v>
      </x:c>
      <x:c r="C50" s="31" t="str">
        <x:v>模型参数</x:v>
      </x:c>
      <x:c r="D50" s="31" t="str">
        <x:v>边界</x:v>
      </x:c>
      <x:c r="E50" s="31" t="str">
        <x:v>P1</x:v>
      </x:c>
      <x:c r="F50" s="32" t="str">
        <x:v>局部半径超过上限</x:v>
      </x:c>
      <x:c r="G50" s="32" t="str">
        <x:v>服务可用</x:v>
      </x:c>
      <x:c r="H50" s="32" t="str">
        <x:v>local_radius=11</x:v>
      </x:c>
      <x:c r="I50" s="32" t="str">
        <x:v>422且不创建任务</x:v>
      </x:c>
      <x:c r="J50" s="31" t="str">
        <x:v>手工</x:v>
      </x:c>
      <x:c r="K50" s="31" t="str">
        <x:v>待执行</x:v>
      </x:c>
      <x:c r="L50" s="33" t="str">
        <x:v>参数范围</x:v>
      </x:c>
    </x:row>
    <x:row r="51" ht="60" customHeight="1">
      <x:c r="A51" s="30" t="str">
        <x:v>DAS-B-017</x:v>
      </x:c>
      <x:c r="B51" s="31" t="str">
        <x:v>REQ-27</x:v>
      </x:c>
      <x:c r="C51" s="31" t="str">
        <x:v>多窗口规则</x:v>
      </x:c>
      <x:c r="D51" s="31" t="str">
        <x:v>边界</x:v>
      </x:c>
      <x:c r="E51" s="31" t="str">
        <x:v>P0</x:v>
      </x:c>
      <x:c r="F51" s="32" t="str">
        <x:v>持续次数大于窗口总数</x:v>
      </x:c>
      <x:c r="G51" s="32" t="str">
        <x:v>服务可用</x:v>
      </x:c>
      <x:c r="H51" s="32" t="str">
        <x:v>windows=3,min=4</x:v>
      </x:c>
      <x:c r="I51" s="32" t="str">
        <x:v>受控失败</x:v>
      </x:c>
      <x:c r="J51" s="31" t="str">
        <x:v>手工</x:v>
      </x:c>
      <x:c r="K51" s="31" t="str">
        <x:v>待执行</x:v>
      </x:c>
      <x:c r="L51" s="33" t="str">
        <x:v>规则一致性</x:v>
      </x:c>
    </x:row>
    <x:row r="52" ht="60" customHeight="1">
      <x:c r="A52" s="30" t="str">
        <x:v>DAS-B-018</x:v>
      </x:c>
      <x:c r="B52" s="31" t="str">
        <x:v>REQ-27</x:v>
      </x:c>
      <x:c r="C52" s="31" t="str">
        <x:v>多窗口规则</x:v>
      </x:c>
      <x:c r="D52" s="31" t="str">
        <x:v>边界</x:v>
      </x:c>
      <x:c r="E52" s="31" t="str">
        <x:v>P0</x:v>
      </x:c>
      <x:c r="F52" s="32" t="str">
        <x:v>后续窗口越界</x:v>
      </x:c>
      <x:c r="G52" s="32" t="str">
        <x:v>300样点合成TDMS</x:v>
      </x:c>
      <x:c r="H52" s="32" t="str">
        <x:v>3窗,n=100,step=150</x:v>
      </x:c>
      <x:c r="I52" s="32" t="str">
        <x:v>任务failed并指明窗口越界</x:v>
      </x:c>
      <x:c r="J52" s="31" t="str">
        <x:v>手工</x:v>
      </x:c>
      <x:c r="K52" s="31" t="str">
        <x:v>待执行</x:v>
      </x:c>
      <x:c r="L52" s="33" t="str">
        <x:v>后续窗口</x:v>
      </x:c>
    </x:row>
    <x:row r="53" ht="60" customHeight="1">
      <x:c r="A53" s="30" t="str">
        <x:v>DAS-B-019</x:v>
      </x:c>
      <x:c r="B53" s="31" t="str">
        <x:v>REQ-28</x:v>
      </x:c>
      <x:c r="C53" s="31" t="str">
        <x:v>跨文件规则</x:v>
      </x:c>
      <x:c r="D53" s="31" t="str">
        <x:v>边界</x:v>
      </x:c>
      <x:c r="E53" s="31" t="str">
        <x:v>P0</x:v>
      </x:c>
      <x:c r="F53" s="32" t="str">
        <x:v>连续文件不足</x:v>
      </x:c>
      <x:c r="G53" s="32" t="str">
        <x:v>只有1个临时TDMS</x:v>
      </x:c>
      <x:c r="H53" s="32" t="str">
        <x:v>n_files=2</x:v>
      </x:c>
      <x:c r="I53" s="32" t="str">
        <x:v>任务failed，提示数量不足</x:v>
      </x:c>
      <x:c r="J53" s="31" t="str">
        <x:v>自动化</x:v>
      </x:c>
      <x:c r="K53" s="31" t="str">
        <x:v>已通过（自动化）</x:v>
      </x:c>
      <x:c r="L53" s="33" t="str">
        <x:v>序列边界</x:v>
      </x:c>
    </x:row>
    <x:row r="54" ht="60" customHeight="1">
      <x:c r="A54" s="30" t="str">
        <x:v>DAS-B-020</x:v>
      </x:c>
      <x:c r="B54" s="31" t="str">
        <x:v>REQ-29</x:v>
      </x:c>
      <x:c r="C54" s="31" t="str">
        <x:v>TDMS解析</x:v>
      </x:c>
      <x:c r="D54" s="31" t="str">
        <x:v>异常</x:v>
      </x:c>
      <x:c r="E54" s="31" t="str">
        <x:v>P0</x:v>
      </x:c>
      <x:c r="F54" s="32" t="str">
        <x:v>损坏TDMS</x:v>
      </x:c>
      <x:c r="G54" s="32" t="str">
        <x:v>准备截断文件</x:v>
      </x:c>
      <x:c r="H54" s="32" t="str">
        <x:v>corrupt.tdms</x:v>
      </x:c>
      <x:c r="I54" s="32" t="str">
        <x:v>任务failed；日志保留解析错误；服务继续运行</x:v>
      </x:c>
      <x:c r="J54" s="31" t="str">
        <x:v>手工</x:v>
      </x:c>
      <x:c r="K54" s="31" t="str">
        <x:v>待执行</x:v>
      </x:c>
      <x:c r="L54" s="33" t="str">
        <x:v>健壮性</x:v>
      </x:c>
    </x:row>
    <x:row r="55" ht="60" customHeight="1">
      <x:c r="A55" s="30" t="str">
        <x:v>DAS-B-021</x:v>
      </x:c>
      <x:c r="B55" s="31" t="str">
        <x:v>REQ-29</x:v>
      </x:c>
      <x:c r="C55" s="31" t="str">
        <x:v>TDMS解析</x:v>
      </x:c>
      <x:c r="D55" s="31" t="str">
        <x:v>异常</x:v>
      </x:c>
      <x:c r="E55" s="31" t="str">
        <x:v>P1</x:v>
      </x:c>
      <x:c r="F55" s="32" t="str">
        <x:v>根属性与数组长度不一致</x:v>
      </x:c>
      <x:c r="G55" s="32" t="str">
        <x:v>构造异常TDMS</x:v>
      </x:c>
      <x:c r="H55" s="32" t="str">
        <x:v>channels或samples属性错误</x:v>
      </x:c>
      <x:c r="I55" s="32" t="str">
        <x:v>受控失败，不按错误偏移读数据</x:v>
      </x:c>
      <x:c r="J55" s="31" t="str">
        <x:v>手工</x:v>
      </x:c>
      <x:c r="K55" s="31" t="str">
        <x:v>待执行</x:v>
      </x:c>
      <x:c r="L55" s="33" t="str">
        <x:v>数据完整性</x:v>
      </x:c>
    </x:row>
    <x:row r="56" ht="60" customHeight="1">
      <x:c r="A56" s="30" t="str">
        <x:v>DAS-B-022</x:v>
      </x:c>
      <x:c r="B56" s="31" t="str">
        <x:v>REQ-30</x:v>
      </x:c>
      <x:c r="C56" s="31" t="str">
        <x:v>路径编码</x:v>
      </x:c>
      <x:c r="D56" s="31" t="str">
        <x:v>兼容性</x:v>
      </x:c>
      <x:c r="E56" s="31" t="str">
        <x:v>P1</x:v>
      </x:c>
      <x:c r="F56" s="32" t="str">
        <x:v>中文目录与文件名</x:v>
      </x:c>
      <x:c r="G56" s="32" t="str">
        <x:v>测试数据含中文</x:v>
      </x:c>
      <x:c r="H56" s="32" t="str">
        <x:v>测试数据_01.tdms</x:v>
      </x:c>
      <x:c r="I56" s="32" t="str">
        <x:v>枚举、分析、日志、CSV均编码正常</x:v>
      </x:c>
      <x:c r="J56" s="31" t="str">
        <x:v>手工</x:v>
      </x:c>
      <x:c r="K56" s="31" t="str">
        <x:v>待执行</x:v>
      </x:c>
      <x:c r="L56" s="33" t="str">
        <x:v>挂载兼容</x:v>
      </x:c>
    </x:row>
    <x:row r="57" ht="60" customHeight="1">
      <x:c r="A57" s="30" t="str">
        <x:v>DAS-B-023</x:v>
      </x:c>
      <x:c r="B57" s="31" t="str">
        <x:v>REQ-31</x:v>
      </x:c>
      <x:c r="C57" s="31" t="str">
        <x:v>任务查询</x:v>
      </x:c>
      <x:c r="D57" s="31" t="str">
        <x:v>边界</x:v>
      </x:c>
      <x:c r="E57" s="31" t="str">
        <x:v>P1</x:v>
      </x:c>
      <x:c r="F57" s="32" t="str">
        <x:v>不存在job_id</x:v>
      </x:c>
      <x:c r="G57" s="32" t="str">
        <x:v>服务可用</x:v>
      </x:c>
      <x:c r="H57" s="32" t="str">
        <x:v>job-not-exist</x:v>
      </x:c>
      <x:c r="I57" s="32" t="str">
        <x:v>404且提示任务不存在</x:v>
      </x:c>
      <x:c r="J57" s="31" t="str">
        <x:v>手工</x:v>
      </x:c>
      <x:c r="K57" s="31" t="str">
        <x:v>待执行</x:v>
      </x:c>
      <x:c r="L57" s="33" t="str">
        <x:v>负向接口</x:v>
      </x:c>
    </x:row>
    <x:row r="58" ht="60" customHeight="1">
      <x:c r="A58" s="30" t="str">
        <x:v>DAS-B-024</x:v>
      </x:c>
      <x:c r="B58" s="31" t="str">
        <x:v>REQ-31</x:v>
      </x:c>
      <x:c r="C58" s="31" t="str">
        <x:v>CSV导出</x:v>
      </x:c>
      <x:c r="D58" s="31" t="str">
        <x:v>边界</x:v>
      </x:c>
      <x:c r="E58" s="31" t="str">
        <x:v>P1</x:v>
      </x:c>
      <x:c r="F58" s="32" t="str">
        <x:v>不存在或未完成任务导出</x:v>
      </x:c>
      <x:c r="G58" s="32" t="str">
        <x:v>服务可用</x:v>
      </x:c>
      <x:c r="H58" s="32" t="str">
        <x:v>错误id和queued id</x:v>
      </x:c>
      <x:c r="I58" s="32" t="str">
        <x:v>404或409，不生成误导空文件</x:v>
      </x:c>
      <x:c r="J58" s="31" t="str">
        <x:v>手工</x:v>
      </x:c>
      <x:c r="K58" s="31" t="str">
        <x:v>待执行</x:v>
      </x:c>
      <x:c r="L58" s="33" t="str">
        <x:v>导出边界</x:v>
      </x:c>
    </x:row>
    <x:row r="59" ht="60" customHeight="1">
      <x:c r="A59" s="30" t="str">
        <x:v>DAS-B-025</x:v>
      </x:c>
      <x:c r="B59" s="31" t="str">
        <x:v>REQ-32</x:v>
      </x:c>
      <x:c r="C59" s="31" t="str">
        <x:v>HTTP契约</x:v>
      </x:c>
      <x:c r="D59" s="31" t="str">
        <x:v>边界</x:v>
      </x:c>
      <x:c r="E59" s="31" t="str">
        <x:v>P1</x:v>
      </x:c>
      <x:c r="F59" s="32" t="str">
        <x:v>缺字段或类型错误</x:v>
      </x:c>
      <x:c r="G59" s="32" t="str">
        <x:v>服务可用</x:v>
      </x:c>
      <x:c r="H59" s="32" t="str">
        <x:v>缺路径，n_samples为文本</x:v>
      </x:c>
      <x:c r="I59" s="32" t="str">
        <x:v>422且指出字段</x:v>
      </x:c>
      <x:c r="J59" s="31" t="str">
        <x:v>手工</x:v>
      </x:c>
      <x:c r="K59" s="31" t="str">
        <x:v>待执行</x:v>
      </x:c>
      <x:c r="L59" s="33" t="str">
        <x:v>请求校验</x:v>
      </x:c>
    </x:row>
    <x:row r="60" ht="60" customHeight="1">
      <x:c r="A60" s="30" t="str">
        <x:v>DAS-B-026</x:v>
      </x:c>
      <x:c r="B60" s="31" t="str">
        <x:v>REQ-32</x:v>
      </x:c>
      <x:c r="C60" s="31" t="str">
        <x:v>HTTP契约</x:v>
      </x:c>
      <x:c r="D60" s="31" t="str">
        <x:v>异常</x:v>
      </x:c>
      <x:c r="E60" s="31" t="str">
        <x:v>P2</x:v>
      </x:c>
      <x:c r="F60" s="32" t="str">
        <x:v>畸形JSON或Content-Type</x:v>
      </x:c>
      <x:c r="G60" s="32" t="str">
        <x:v>服务可用</x:v>
      </x:c>
      <x:c r="H60" s="32" t="str">
        <x:v>截断JSON,text/plain</x:v>
      </x:c>
      <x:c r="I60" s="32" t="str">
        <x:v>4xx且服务继续可用</x:v>
      </x:c>
      <x:c r="J60" s="31" t="str">
        <x:v>手工</x:v>
      </x:c>
      <x:c r="K60" s="31" t="str">
        <x:v>待执行</x:v>
      </x:c>
      <x:c r="L60" s="33" t="str">
        <x:v>健壮性</x:v>
      </x:c>
    </x:row>
    <x:row r="61" ht="60" customHeight="1">
      <x:c r="A61" s="30" t="str">
        <x:v>DAS-P-001</x:v>
      </x:c>
      <x:c r="B61" s="31" t="str">
        <x:v>REQ-33</x:v>
      </x:c>
      <x:c r="C61" s="31" t="str">
        <x:v>性能</x:v>
      </x:c>
      <x:c r="D61" s="31" t="str">
        <x:v>性能</x:v>
      </x:c>
      <x:c r="E61" s="31" t="str">
        <x:v>P0</x:v>
      </x:c>
      <x:c r="F61" s="32" t="str">
        <x:v>真实数据基线性能</x:v>
      </x:c>
      <x:c r="G61" s="32" t="str">
        <x:v>服务和真实数据可用</x:v>
      </x:c>
      <x:c r="H61" s="32" t="str">
        <x:v>24通道×10000点运行performance_smoke</x:v>
      </x:c>
      <x:c r="I61" s="32" t="str">
        <x:v>记录elapsed_seconds，仅做同机回归基线</x:v>
      </x:c>
      <x:c r="J61" s="31" t="str">
        <x:v>手工</x:v>
      </x:c>
      <x:c r="K61" s="31" t="str">
        <x:v>已通过（手工）</x:v>
      </x:c>
      <x:c r="L61" s="33" t="str">
        <x:v>缓存条件约0.56秒</x:v>
      </x:c>
    </x:row>
    <x:row r="62" ht="60" customHeight="1">
      <x:c r="A62" s="30" t="str">
        <x:v>DAS-P-002</x:v>
      </x:c>
      <x:c r="B62" s="31" t="str">
        <x:v>REQ-33</x:v>
      </x:c>
      <x:c r="C62" s="31" t="str">
        <x:v>性能</x:v>
      </x:c>
      <x:c r="D62" s="31" t="str">
        <x:v>性能</x:v>
      </x:c>
      <x:c r="E62" s="31" t="str">
        <x:v>P1</x:v>
      </x:c>
      <x:c r="F62" s="32" t="str">
        <x:v>冷热缓存对比</x:v>
      </x:c>
      <x:c r="G62" s="32" t="str">
        <x:v>可记录缓存状态</x:v>
      </x:c>
      <x:c r="H62" s="32" t="str">
        <x:v>相同24通道×10000点运行两次</x:v>
      </x:c>
      <x:c r="I62" s="32" t="str">
        <x:v>分别记录两次耗时，不只保留快值</x:v>
      </x:c>
      <x:c r="J62" s="31" t="str">
        <x:v>手工</x:v>
      </x:c>
      <x:c r="K62" s="31" t="str">
        <x:v>待执行</x:v>
      </x:c>
      <x:c r="L62" s="33" t="str">
        <x:v>I/O影响</x:v>
      </x:c>
    </x:row>
    <x:row r="63" ht="60" customHeight="1">
      <x:c r="A63" s="30" t="str">
        <x:v>DAS-P-003</x:v>
      </x:c>
      <x:c r="B63" s="31" t="str">
        <x:v>REQ-33</x:v>
      </x:c>
      <x:c r="C63" s="31" t="str">
        <x:v>性能</x:v>
      </x:c>
      <x:c r="D63" s="31" t="str">
        <x:v>性能</x:v>
      </x:c>
      <x:c r="E63" s="31" t="str">
        <x:v>P1</x:v>
      </x:c>
      <x:c r="F63" s="32" t="str">
        <x:v>最大样点任务</x:v>
      </x:c>
      <x:c r="G63" s="32" t="str">
        <x:v>资源监控可用</x:v>
      </x:c>
      <x:c r="H63" s="32" t="str">
        <x:v>24通道×50000点</x:v>
      </x:c>
      <x:c r="I63" s="32" t="str">
        <x:v>完成或受控失败，记录内存和耗时</x:v>
      </x:c>
      <x:c r="J63" s="31" t="str">
        <x:v>手工</x:v>
      </x:c>
      <x:c r="K63" s="31" t="str">
        <x:v>待执行</x:v>
      </x:c>
      <x:c r="L63" s="33" t="str">
        <x:v>机器配置必记</x:v>
      </x:c>
    </x:row>
    <x:row r="64" ht="60" customHeight="1">
      <x:c r="A64" s="30" t="str">
        <x:v>DAS-P-004</x:v>
      </x:c>
      <x:c r="B64" s="31" t="str">
        <x:v>REQ-33</x:v>
      </x:c>
      <x:c r="C64" s="31" t="str">
        <x:v>性能</x:v>
      </x:c>
      <x:c r="D64" s="31" t="str">
        <x:v>性能</x:v>
      </x:c>
      <x:c r="E64" s="31" t="str">
        <x:v>P2</x:v>
      </x:c>
      <x:c r="F64" s="32" t="str">
        <x:v>扩大通道数</x:v>
      </x:c>
      <x:c r="G64" s="32" t="str">
        <x:v>TDMS有64逻辑通道</x:v>
      </x:c>
      <x:c r="H64" s="32" t="str">
        <x:v>64通道×10000点</x:v>
      </x:c>
      <x:c r="I64" s="32" t="str">
        <x:v>完成并记录与基线的差异</x:v>
      </x:c>
      <x:c r="J64" s="31" t="str">
        <x:v>手工</x:v>
      </x:c>
      <x:c r="K64" s="31" t="str">
        <x:v>待执行</x:v>
      </x:c>
      <x:c r="L64" s="33" t="str">
        <x:v>容量观察</x:v>
      </x:c>
    </x:row>
    <x:row r="65" ht="60" customHeight="1">
      <x:c r="A65" s="30" t="str">
        <x:v>DAS-P-005</x:v>
      </x:c>
      <x:c r="B65" s="31" t="str">
        <x:v>REQ-34</x:v>
      </x:c>
      <x:c r="C65" s="31" t="str">
        <x:v>可靠性</x:v>
      </x:c>
      <x:c r="D65" s="31" t="str">
        <x:v>可靠性</x:v>
      </x:c>
      <x:c r="E65" s="31" t="str">
        <x:v>P1</x:v>
      </x:c>
      <x:c r="F65" s="32" t="str">
        <x:v>连续10次重复任务</x:v>
      </x:c>
      <x:c r="G65" s="32" t="str">
        <x:v>服务稳定</x:v>
      </x:c>
      <x:c r="H65" s="32" t="str">
        <x:v>10次相同请求</x:v>
      </x:c>
      <x:c r="I65" s="32" t="str">
        <x:v>每次独立job_id，无进程退出</x:v>
      </x:c>
      <x:c r="J65" s="31" t="str">
        <x:v>手工</x:v>
      </x:c>
      <x:c r="K65" s="31" t="str">
        <x:v>待执行</x:v>
      </x:c>
      <x:c r="L65" s="33" t="str">
        <x:v>重复稳定性</x:v>
      </x:c>
    </x:row>
    <x:row r="66" ht="60" customHeight="1">
      <x:c r="A66" s="30" t="str">
        <x:v>DAS-P-006</x:v>
      </x:c>
      <x:c r="B66" s="31" t="str">
        <x:v>REQ-34</x:v>
      </x:c>
      <x:c r="C66" s="31" t="str">
        <x:v>可靠性</x:v>
      </x:c>
      <x:c r="D66" s="31" t="str">
        <x:v>可靠性</x:v>
      </x:c>
      <x:c r="E66" s="31" t="str">
        <x:v>P1</x:v>
      </x:c>
      <x:c r="F66" s="32" t="str">
        <x:v>近同时提交两任务</x:v>
      </x:c>
      <x:c r="G66" s="32" t="str">
        <x:v>服务稳定</x:v>
      </x:c>
      <x:c r="H66" s="32" t="str">
        <x:v>两个不同窗口任务</x:v>
      </x:c>
      <x:c r="I66" s="32" t="str">
        <x:v>结果不串扰，状态归属正确</x:v>
      </x:c>
      <x:c r="J66" s="31" t="str">
        <x:v>手工</x:v>
      </x:c>
      <x:c r="K66" s="31" t="str">
        <x:v>待执行</x:v>
      </x:c>
      <x:c r="L66" s="33" t="str">
        <x:v>并发边界</x:v>
      </x:c>
    </x:row>
    <x:row r="67" ht="60" customHeight="1">
      <x:c r="A67" s="30" t="str">
        <x:v>DAS-P-007</x:v>
      </x:c>
      <x:c r="B67" s="31" t="str">
        <x:v>REQ-34</x:v>
      </x:c>
      <x:c r="C67" s="31" t="str">
        <x:v>可靠性</x:v>
      </x:c>
      <x:c r="D67" s="31" t="str">
        <x:v>可靠性</x:v>
      </x:c>
      <x:c r="E67" s="31" t="str">
        <x:v>P1</x:v>
      </x:c>
      <x:c r="F67" s="32" t="str">
        <x:v>服务重启后查询任务</x:v>
      </x:c>
      <x:c r="G67" s="32" t="str">
        <x:v>存在completed任务</x:v>
      </x:c>
      <x:c r="H67" s="32" t="str">
        <x:v>重启后GET job_id</x:v>
      </x:c>
      <x:c r="I67" s="32" t="str">
        <x:v>SQLite记录仍可查询</x:v>
      </x:c>
      <x:c r="J67" s="31" t="str">
        <x:v>手工</x:v>
      </x:c>
      <x:c r="K67" s="31" t="str">
        <x:v>待执行</x:v>
      </x:c>
      <x:c r="L67" s="33" t="str">
        <x:v>不承诺运行中任务续跑</x:v>
      </x:c>
    </x:row>
    <x:row r="68" ht="60" customHeight="1">
      <x:c r="A68" s="30" t="str">
        <x:v>DAS-P-008</x:v>
      </x:c>
      <x:c r="B68" s="31" t="str">
        <x:v>REQ-35</x:v>
      </x:c>
      <x:c r="C68" s="31" t="str">
        <x:v>日志</x:v>
      </x:c>
      <x:c r="D68" s="31" t="str">
        <x:v>可靠性</x:v>
      </x:c>
      <x:c r="E68" s="31" t="str">
        <x:v>P2</x:v>
      </x:c>
      <x:c r="F68" s="32" t="str">
        <x:v>日志轮转</x:v>
      </x:c>
      <x:c r="G68" s="32" t="str">
        <x:v>测试环境</x:v>
      </x:c>
      <x:c r="H68" s="32" t="str">
        <x:v>缩小阈值或大量写日志</x:v>
      </x:c>
      <x:c r="I68" s="32" t="str">
        <x:v>产生备份日志且持续可写</x:v>
      </x:c>
      <x:c r="J68" s="31" t="str">
        <x:v>手工</x:v>
      </x:c>
      <x:c r="K68" s="31" t="str">
        <x:v>待执行</x:v>
      </x:c>
      <x:c r="L68" s="33" t="str">
        <x:v>非生产目录执行</x:v>
      </x:c>
    </x:row>
    <x:row r="69" ht="60" customHeight="1">
      <x:c r="A69" s="30" t="str">
        <x:v>DAS-P-009</x:v>
      </x:c>
      <x:c r="B69" s="31" t="str">
        <x:v>REQ-35</x:v>
      </x:c>
      <x:c r="C69" s="31" t="str">
        <x:v>数据保护</x:v>
      </x:c>
      <x:c r="D69" s="31" t="str">
        <x:v>可靠性</x:v>
      </x:c>
      <x:c r="E69" s="31" t="str">
        <x:v>P0</x:v>
      </x:c>
      <x:c r="F69" s="32" t="str">
        <x:v>原始数据Hash复核</x:v>
      </x:c>
      <x:c r="G69" s="32" t="str">
        <x:v>可计算SHA256</x:v>
      </x:c>
      <x:c r="H69" s="32" t="str">
        <x:v>分析前后比对真实TDMS</x:v>
      </x:c>
      <x:c r="I69" s="32" t="str">
        <x:v>hash完全一致</x:v>
      </x:c>
      <x:c r="J69" s="31" t="str">
        <x:v>手工</x:v>
      </x:c>
      <x:c r="K69" s="31" t="str">
        <x:v>待执行</x:v>
      </x:c>
      <x:c r="L69" s="33" t="str">
        <x:v>只读验收</x:v>
      </x:c>
    </x:row>
    <x:row r="70" ht="60" customHeight="1">
      <x:c r="A70" s="30" t="str">
        <x:v>DAS-P-010</x:v>
      </x:c>
      <x:c r="B70" s="31" t="str">
        <x:v>REQ-36</x:v>
      </x:c>
      <x:c r="C70" s="31" t="str">
        <x:v>浏览器</x:v>
      </x:c>
      <x:c r="D70" s="31" t="str">
        <x:v>可靠性</x:v>
      </x:c>
      <x:c r="E70" s="31" t="str">
        <x:v>P2</x:v>
      </x:c>
      <x:c r="F70" s="32" t="str">
        <x:v>页面刷新不终止后台任务</x:v>
      </x:c>
      <x:c r="G70" s="32" t="str">
        <x:v>已获job_id</x:v>
      </x:c>
      <x:c r="H70" s="32" t="str">
        <x:v>任务中刷新浏览器后查询</x:v>
      </x:c>
      <x:c r="I70" s="32" t="str">
        <x:v>后台任务仍可查询最终状态</x:v>
      </x:c>
      <x:c r="J70" s="31" t="str">
        <x:v>手工</x:v>
      </x:c>
      <x:c r="K70" s="31" t="str">
        <x:v>待执行</x:v>
      </x:c>
      <x:c r="L70" s="33" t="str">
        <x:v>UI与任务解耦</x:v>
      </x:c>
    </x:row>
    <x:row r="71" ht="60" customHeight="1">
      <x:c r="A71" s="30" t="str">
        <x:v>DAS-P-011</x:v>
      </x:c>
      <x:c r="B71" s="31" t="str">
        <x:v>REQ-36</x:v>
      </x:c>
      <x:c r="C71" s="31" t="str">
        <x:v>跨文件</x:v>
      </x:c>
      <x:c r="D71" s="31" t="str">
        <x:v>性能</x:v>
      </x:c>
      <x:c r="E71" s="31" t="str">
        <x:v>P1</x:v>
      </x:c>
      <x:c r="F71" s="32" t="str">
        <x:v>真实3文件持续性性能</x:v>
      </x:c>
      <x:c r="G71" s="32" t="str">
        <x:v>真实3文件可用</x:v>
      </x:c>
      <x:c r="H71" s="32" t="str">
        <x:v>每文件24通道×10000点</x:v>
      </x:c>
      <x:c r="I71" s="32" t="str">
        <x:v>files结果齐全，日志含耗时</x:v>
      </x:c>
      <x:c r="J71" s="31" t="str">
        <x:v>手工</x:v>
      </x:c>
      <x:c r="K71" s="31" t="str">
        <x:v>已通过（手工）</x:v>
      </x:c>
      <x:c r="L71" s="33" t="str">
        <x:v>真实回放</x:v>
      </x:c>
    </x:row>
    <x:row r="72" ht="60" customHeight="1">
      <x:c r="A72" s="30" t="str">
        <x:v>DAS-P-012</x:v>
      </x:c>
      <x:c r="B72" s="31" t="str">
        <x:v>REQ-37</x:v>
      </x:c>
      <x:c r="C72" s="31" t="str">
        <x:v>文件枚举</x:v>
      </x:c>
      <x:c r="D72" s="31" t="str">
        <x:v>性能</x:v>
      </x:c>
      <x:c r="E72" s="31" t="str">
        <x:v>P2</x:v>
      </x:c>
      <x:c r="F72" s="32" t="str">
        <x:v>大目录limit行为</x:v>
      </x:c>
      <x:c r="G72" s="32" t="str">
        <x:v>准备超过100文件</x:v>
      </x:c>
      <x:c r="H72" s="32" t="str">
        <x:v>limit=100和500</x:v>
      </x:c>
      <x:c r="I72" s="32" t="str">
        <x:v>返回不超过limit，不异常阻塞</x:v>
      </x:c>
      <x:c r="J72" s="31" t="str">
        <x:v>手工</x:v>
      </x:c>
      <x:c r="K72" s="31" t="str">
        <x:v>待执行</x:v>
      </x:c>
      <x:c r="L72" s="33" t="str">
        <x:v>容量</x:v>
      </x:c>
    </x:row>
    <x:row r="73" ht="60" customHeight="1">
      <x:c r="A73" s="30" t="str">
        <x:v>DAS-P-013</x:v>
      </x:c>
      <x:c r="B73" s="31" t="str">
        <x:v>REQ-37</x:v>
      </x:c>
      <x:c r="C73" s="31" t="str">
        <x:v>CSV导出</x:v>
      </x:c>
      <x:c r="D73" s="31" t="str">
        <x:v>性能</x:v>
      </x:c>
      <x:c r="E73" s="31" t="str">
        <x:v>P2</x:v>
      </x:c>
      <x:c r="F73" s="32" t="str">
        <x:v>64通道CSV导出</x:v>
      </x:c>
      <x:c r="G73" s="32" t="str">
        <x:v>64通道任务完成</x:v>
      </x:c>
      <x:c r="H73" s="32" t="str">
        <x:v>下载并打开CSV</x:v>
      </x:c>
      <x:c r="I73" s="32" t="str">
        <x:v>列完整且数据行=64</x:v>
      </x:c>
      <x:c r="J73" s="31" t="str">
        <x:v>手工</x:v>
      </x:c>
      <x:c r="K73" s="31" t="str">
        <x:v>待执行</x:v>
      </x:c>
      <x:c r="L73" s="33" t="str">
        <x:v>导出</x:v>
      </x:c>
    </x:row>
    <x:row r="74" ht="60" customHeight="1">
      <x:c r="A74" s="30" t="str">
        <x:v>DAS-P-014</x:v>
      </x:c>
      <x:c r="B74" s="31" t="str">
        <x:v>REQ-38</x:v>
      </x:c>
      <x:c r="C74" s="31" t="str">
        <x:v>回归</x:v>
      </x:c>
      <x:c r="D74" s="31" t="str">
        <x:v>回归</x:v>
      </x:c>
      <x:c r="E74" s="31" t="str">
        <x:v>P0</x:v>
      </x:c>
      <x:c r="F74" s="32" t="str">
        <x:v>自动化回归集</x:v>
      </x:c>
      <x:c r="G74" s="32" t="str">
        <x:v>WSL虚拟环境就绪</x:v>
      </x:c>
      <x:c r="H74" s="32" t="str">
        <x:v>pytest -q --alluredir</x:v>
      </x:c>
      <x:c r="I74" s="32" t="str">
        <x:v>全部用例通过并可生成Allure</x:v>
      </x:c>
      <x:c r="J74" s="31" t="str">
        <x:v>自动化</x:v>
      </x:c>
      <x:c r="K74" s="31" t="str">
        <x:v>已通过（自动化）</x:v>
      </x:c>
      <x:c r="L74" s="33" t="str">
        <x:v>2026-10-17为12 passed</x:v>
      </x:c>
    </x:row>
    <x:row r="75" ht="60" customHeight="1">
      <x:c r="A75" s="30" t="str">
        <x:v>DAS-P-015</x:v>
      </x:c>
      <x:c r="B75" s="31" t="str">
        <x:v>REQ-38</x:v>
      </x:c>
      <x:c r="C75" s="31" t="str">
        <x:v>冒烟</x:v>
      </x:c>
      <x:c r="D75" s="31" t="str">
        <x:v>回归</x:v>
      </x:c>
      <x:c r="E75" s="31" t="str">
        <x:v>P1</x:v>
      </x:c>
      <x:c r="F75" s="32" t="str">
        <x:v>发布前真实数据冒烟</x:v>
      </x:c>
      <x:c r="G75" s="32" t="str">
        <x:v>服务启动</x:v>
      </x:c>
      <x:c r="H75" s="32" t="str">
        <x:v>system_smoke_test.ps1</x:v>
      </x:c>
      <x:c r="I75" s="32" t="str">
        <x:v>健康检查、列举、建任务、轮询均完成</x:v>
      </x:c>
      <x:c r="J75" s="31" t="str">
        <x:v>手工</x:v>
      </x:c>
      <x:c r="K75" s="31" t="str">
        <x:v>待执行</x:v>
      </x:c>
      <x:c r="L75" s="33" t="str">
        <x:v>发布前执行</x:v>
      </x:c>
    </x:row>
    <x:row r="76" ht="60" customHeight="1">
      <x:c r="A76" s="34" t="str">
        <x:v>DAS-P-016</x:v>
      </x:c>
      <x:c r="B76" s="35" t="str">
        <x:v>REQ-39</x:v>
      </x:c>
      <x:c r="C76" s="35" t="str">
        <x:v>兼容性</x:v>
      </x:c>
      <x:c r="D76" s="35" t="str">
        <x:v>兼容性</x:v>
      </x:c>
      <x:c r="E76" s="35" t="str">
        <x:v>P2</x:v>
      </x:c>
      <x:c r="F76" s="36" t="str">
        <x:v>Windows浏览器访问WSL服务</x:v>
      </x:c>
      <x:c r="G76" s="36" t="str">
        <x:v>WSL服务运行</x:v>
      </x:c>
      <x:c r="H76" s="36" t="str">
        <x:v>Edge和Chrome分别创建任务</x:v>
      </x:c>
      <x:c r="I76" s="36" t="str">
        <x:v>网页、图表、下载均可用</x:v>
      </x:c>
      <x:c r="J76" s="35" t="str">
        <x:v>手工</x:v>
      </x:c>
      <x:c r="K76" s="35" t="str">
        <x:v>待执行</x:v>
      </x:c>
      <x:c r="L76" s="37" t="str">
        <x:v>本地访问</x:v>
      </x:c>
    </x:row>
  </x:sheetData>
  <x:mergeCells>
    <x:mergeCell ref="A1:L1"/>
    <x:mergeCell ref="A2:L2"/>
  </x:mergeCells>
  <x:conditionalFormatting sqref="K7:K76">
    <x:cfRule type="containsText" dxfId="0" priority="1" operator="containsText" text="已通过"/>
    <x:cfRule type="containsText" dxfId="1" priority="2" operator="containsText" text="待执行"/>
    <x:cfRule type="containsText" dxfId="2" priority="3" operator="containsText" text="阻塞"/>
  </x:conditionalFormatting>
  <x:conditionalFormatting sqref="E7:E76">
    <x:cfRule type="containsText" dxfId="3" priority="4" operator="containsText" text="P0"/>
  </x:conditionalFormatting>
  <x:dataValidations count="4">
    <x:dataValidation type="list" sqref="D7:D76">
      <x:formula1>"功能,边界,安全/边界,异常,性能,可靠性,回归,兼容性"</x:formula1>
    </x:dataValidation>
    <x:dataValidation type="list" sqref="E7:E76">
      <x:formula1>"P0,P1,P2"</x:formula1>
    </x:dataValidation>
    <x:dataValidation type="list" sqref="J7:J76">
      <x:formula1>"自动化,手工"</x:formula1>
    </x:dataValidation>
    <x:dataValidation type="list" sqref="K7:K76">
      <x:formula1>"待执行,执行中,已通过（自动化）,已通过（手工）,失败,阻塞,不适用"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ebe711a79408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35" hidden="0" customWidth="1"/>
  </x:cols>
  <x:sheetData>
    <x:row r="1" ht="28" customHeight="1">
      <x:c r="A1" s="2" t="str">
        <x:v>需求-测试用例追踪矩阵</x:v>
      </x:c>
    </x:row>
    <x:row r="2">
      <x:c r="A2" s="3" t="str">
        <x:v>新增功能时先补需求，再添加可执行测试用例，避免只测实现而没有需求追踪。</x:v>
      </x:c>
    </x:row>
    <x:row r="5">
      <x:c r="A5" s="9" t="str">
        <x:v>需求ID</x:v>
      </x:c>
      <x:c r="B5" s="9" t="str">
        <x:v>需求主题</x:v>
      </x:c>
      <x:c r="C5" s="9" t="str">
        <x:v>可验证需求</x:v>
      </x:c>
      <x:c r="D5" s="9" t="str">
        <x:v>覆盖测试用例</x:v>
      </x:c>
    </x:row>
    <x:row r="6" ht="36" customHeight="1">
      <x:c r="A6" s="38" t="str">
        <x:v>REQ-01</x:v>
      </x:c>
      <x:c r="B6" s="38" t="str">
        <x:v>服务健康</x:v>
      </x:c>
      <x:c r="C6" s="38" t="str">
        <x:v>健康检查反映进程和数据根目录</x:v>
      </x:c>
      <x:c r="D6" s="38" t="str">
        <x:v>DAS-F-001</x:v>
      </x:c>
    </x:row>
    <x:row r="7" ht="36" customHeight="1">
      <x:c r="A7" s="38" t="str">
        <x:v>REQ-02</x:v>
      </x:c>
      <x:c r="B7" s="38" t="str">
        <x:v>数据枚举</x:v>
      </x:c>
      <x:c r="C7" s="38" t="str">
        <x:v>只返回数据根目录内的TDMS相对路径</x:v>
      </x:c>
      <x:c r="D7" s="38" t="str">
        <x:v>DAS-F-002</x:v>
      </x:c>
    </x:row>
    <x:row r="8" ht="36" customHeight="1">
      <x:c r="A8" s="38" t="str">
        <x:v>REQ-03</x:v>
      </x:c>
      <x:c r="B8" s="38" t="str">
        <x:v>元数据</x:v>
      </x:c>
      <x:c r="C8" s="38" t="str">
        <x:v>识别逻辑通道、样点和扁平布局</x:v>
      </x:c>
      <x:c r="D8" s="38" t="str">
        <x:v>DAS-F-003</x:v>
      </x:c>
    </x:row>
    <x:row r="9" ht="36" customHeight="1">
      <x:c r="A9" s="38" t="str">
        <x:v>REQ-04</x:v>
      </x:c>
      <x:c r="B9" s="38" t="str">
        <x:v>异步任务</x:v>
      </x:c>
      <x:c r="C9" s="38" t="str">
        <x:v>创建、查询、受控结束</x:v>
      </x:c>
      <x:c r="D9" s="38" t="str">
        <x:v>DAS-F-004~005</x:v>
      </x:c>
    </x:row>
    <x:row r="10" ht="36" customHeight="1">
      <x:c r="A10" s="38" t="str">
        <x:v>REQ-05</x:v>
      </x:c>
      <x:c r="B10" s="38" t="str">
        <x:v>有界读取</x:v>
      </x:c>
      <x:c r="C10" s="38" t="str">
        <x:v>指定通道和窗口只读处理</x:v>
      </x:c>
      <x:c r="D10" s="38" t="str">
        <x:v>DAS-F-006,DAS-B-007~010</x:v>
      </x:c>
    </x:row>
    <x:row r="11" ht="36" customHeight="1">
      <x:c r="A11" s="38" t="str">
        <x:v>REQ-06</x:v>
      </x:c>
      <x:c r="B11" s="38" t="str">
        <x:v>特征计算</x:v>
      </x:c>
      <x:c r="C11" s="38" t="str">
        <x:v>输出幅值、频率、局部比、频谱、相干性</x:v>
      </x:c>
      <x:c r="D11" s="38" t="str">
        <x:v>DAS-F-007,DAS-F-015~016</x:v>
      </x:c>
    </x:row>
    <x:row r="12" ht="36" customHeight="1">
      <x:c r="A12" s="38" t="str">
        <x:v>REQ-07</x:v>
      </x:c>
      <x:c r="B12" s="38" t="str">
        <x:v>背景学习</x:v>
      </x:c>
      <x:c r="C12" s="38" t="str">
        <x:v>median/MAD与保护带迭代背景</x:v>
      </x:c>
      <x:c r="D12" s="38" t="str">
        <x:v>DAS-F-008~010</x:v>
      </x:c>
    </x:row>
    <x:row r="13" ht="36" customHeight="1">
      <x:c r="A13" s="38" t="str">
        <x:v>REQ-08</x:v>
      </x:c>
      <x:c r="B13" s="38" t="str">
        <x:v>风险初筛</x:v>
      </x:c>
      <x:c r="C13" s="38" t="str">
        <x:v>三类判据共同满足后形成候选</x:v>
      </x:c>
      <x:c r="D13" s="38" t="str">
        <x:v>DAS-F-009~011</x:v>
      </x:c>
    </x:row>
    <x:row r="14" ht="36" customHeight="1">
      <x:c r="A14" s="38" t="str">
        <x:v>REQ-09</x:v>
      </x:c>
      <x:c r="B14" s="38" t="str">
        <x:v>空间区间</x:v>
      </x:c>
      <x:c r="C14" s="38" t="str">
        <x:v>连续候选通道合并</x:v>
      </x:c>
      <x:c r="D14" s="38" t="str">
        <x:v>DAS-F-011</x:v>
      </x:c>
    </x:row>
    <x:row r="15" ht="36" customHeight="1">
      <x:c r="A15" s="38" t="str">
        <x:v>REQ-10</x:v>
      </x:c>
      <x:c r="B15" s="38" t="str">
        <x:v>风险分级</x:v>
      </x:c>
      <x:c r="C15" s="38" t="str">
        <x:v>黄橙红优先复核等级</x:v>
      </x:c>
      <x:c r="D15" s="38" t="str">
        <x:v>DAS-F-012~014</x:v>
      </x:c>
    </x:row>
    <x:row r="16" ht="36" customHeight="1">
      <x:c r="A16" s="38" t="str">
        <x:v>REQ-11</x:v>
      </x:c>
      <x:c r="B16" s="38" t="str">
        <x:v>频谱</x:v>
      </x:c>
      <x:c r="C16" s="38" t="str">
        <x:v>配置频段内主频与频谱偏离</x:v>
      </x:c>
      <x:c r="D16" s="38" t="str">
        <x:v>DAS-F-015,DAS-B-015</x:v>
      </x:c>
    </x:row>
    <x:row r="17" ht="36" customHeight="1">
      <x:c r="A17" s="38" t="str">
        <x:v>REQ-12</x:v>
      </x:c>
      <x:c r="B17" s="38" t="str">
        <x:v>相干性</x:v>
      </x:c>
      <x:c r="C17" s="38" t="str">
        <x:v>相邻通道相干性作为证据</x:v>
      </x:c>
      <x:c r="D17" s="38" t="str">
        <x:v>DAS-F-016</x:v>
      </x:c>
    </x:row>
    <x:row r="18" ht="36" customHeight="1">
      <x:c r="A18" s="38" t="str">
        <x:v>REQ-13</x:v>
      </x:c>
      <x:c r="B18" s="38" t="str">
        <x:v>多窗口持续性</x:v>
      </x:c>
      <x:c r="C18" s="38" t="str">
        <x:v>重复候选和主频稳定性</x:v>
      </x:c>
      <x:c r="D18" s="38" t="str">
        <x:v>DAS-F-017~018,DAS-B-017~018</x:v>
      </x:c>
    </x:row>
    <x:row r="19" ht="36" customHeight="1">
      <x:c r="A19" s="38" t="str">
        <x:v>REQ-14</x:v>
      </x:c>
      <x:c r="B19" s="38" t="str">
        <x:v>跨文件持续性</x:v>
      </x:c>
      <x:c r="C19" s="38" t="str">
        <x:v>连续文件重复候选升级</x:v>
      </x:c>
      <x:c r="D19" s="38" t="str">
        <x:v>DAS-F-019~020,DAS-B-019</x:v>
      </x:c>
    </x:row>
    <x:row r="20" ht="36" customHeight="1">
      <x:c r="A20" s="38" t="str">
        <x:v>REQ-15</x:v>
      </x:c>
      <x:c r="B20" s="38" t="str">
        <x:v>结果展示</x:v>
      </x:c>
      <x:c r="C20" s="38" t="str">
        <x:v>RMS图和回放概览图</x:v>
      </x:c>
      <x:c r="D20" s="38" t="str">
        <x:v>DAS-F-021~022</x:v>
      </x:c>
    </x:row>
    <x:row r="21" ht="36" customHeight="1">
      <x:c r="A21" s="38" t="str">
        <x:v>REQ-16</x:v>
      </x:c>
      <x:c r="B21" s="38" t="str">
        <x:v>结果导出</x:v>
      </x:c>
      <x:c r="C21" s="38" t="str">
        <x:v>单文件导出逐通道CSV</x:v>
      </x:c>
      <x:c r="D21" s="38" t="str">
        <x:v>DAS-F-023,DAS-B-024</x:v>
      </x:c>
    </x:row>
    <x:row r="22" ht="36" customHeight="1">
      <x:c r="A22" s="38" t="str">
        <x:v>REQ-17</x:v>
      </x:c>
      <x:c r="B22" s="38" t="str">
        <x:v>任务存储</x:v>
      </x:c>
      <x:c r="C22" s="38" t="str">
        <x:v>SQLite保存任务摘要</x:v>
      </x:c>
      <x:c r="D22" s="38" t="str">
        <x:v>DAS-F-024,DAS-P-007</x:v>
      </x:c>
    </x:row>
    <x:row r="23" ht="36" customHeight="1">
      <x:c r="A23" s="38" t="str">
        <x:v>REQ-18</x:v>
      </x:c>
      <x:c r="B23" s="38" t="str">
        <x:v>Linux日志</x:v>
      </x:c>
      <x:c r="C23" s="38" t="str">
        <x:v>任务参数、耗时、成功失败可追溯</x:v>
      </x:c>
      <x:c r="D23" s="38" t="str">
        <x:v>DAS-F-025~026</x:v>
      </x:c>
    </x:row>
    <x:row r="24" ht="36" customHeight="1">
      <x:c r="A24" s="38" t="str">
        <x:v>REQ-19</x:v>
      </x:c>
      <x:c r="B24" s="38" t="str">
        <x:v>数据保护</x:v>
      </x:c>
      <x:c r="C24" s="38" t="str">
        <x:v>原始TDMS只读</x:v>
      </x:c>
      <x:c r="D24" s="38" t="str">
        <x:v>DAS-F-027,DAS-P-009</x:v>
      </x:c>
    </x:row>
    <x:row r="25" ht="36" customHeight="1">
      <x:c r="A25" s="38" t="str">
        <x:v>REQ-20</x:v>
      </x:c>
      <x:c r="B25" s="38" t="str">
        <x:v>网页错误</x:v>
      </x:c>
      <x:c r="C25" s="38" t="str">
        <x:v>错误信息对用户可读</x:v>
      </x:c>
      <x:c r="D25" s="38" t="str">
        <x:v>DAS-F-028</x:v>
      </x:c>
    </x:row>
    <x:row r="26" ht="36" customHeight="1">
      <x:c r="A26" s="38" t="str">
        <x:v>REQ-21</x:v>
      </x:c>
      <x:c r="B26" s="38" t="str">
        <x:v>路径安全</x:v>
      </x:c>
      <x:c r="C26" s="38" t="str">
        <x:v>拒绝越界路径、绝对路径、非TDMS</x:v>
      </x:c>
      <x:c r="D26" s="38" t="str">
        <x:v>DAS-B-001~004</x:v>
      </x:c>
    </x:row>
    <x:row r="27" ht="36" customHeight="1">
      <x:c r="A27" s="38" t="str">
        <x:v>REQ-22</x:v>
      </x:c>
      <x:c r="B27" s="38" t="str">
        <x:v>目录异常</x:v>
      </x:c>
      <x:c r="C27" s="38" t="str">
        <x:v>数据根目录不可用受控失败</x:v>
      </x:c>
      <x:c r="D27" s="38" t="str">
        <x:v>DAS-B-005</x:v>
      </x:c>
    </x:row>
    <x:row r="28" ht="36" customHeight="1">
      <x:c r="A28" s="38" t="str">
        <x:v>REQ-23</x:v>
      </x:c>
      <x:c r="B28" s="38" t="str">
        <x:v>请求契约</x:v>
      </x:c>
      <x:c r="C28" s="38" t="str">
        <x:v>字段类型和JSON受校验</x:v>
      </x:c>
      <x:c r="D28" s="38" t="str">
        <x:v>DAS-B-006,DAS-B-025~026</x:v>
      </x:c>
    </x:row>
    <x:row r="29" ht="36" customHeight="1">
      <x:c r="A29" s="38" t="str">
        <x:v>REQ-24</x:v>
      </x:c>
      <x:c r="B29" s="38" t="str">
        <x:v>采样边界</x:v>
      </x:c>
      <x:c r="C29" s="38" t="str">
        <x:v>校验任务和物理窗口范围</x:v>
      </x:c>
      <x:c r="D29" s="38" t="str">
        <x:v>DAS-B-007~010</x:v>
      </x:c>
    </x:row>
    <x:row r="30" ht="36" customHeight="1">
      <x:c r="A30" s="38" t="str">
        <x:v>REQ-25</x:v>
      </x:c>
      <x:c r="B30" s="38" t="str">
        <x:v>通道边界</x:v>
      </x:c>
      <x:c r="C30" s="38" t="str">
        <x:v>校验通道起止和文件上限</x:v>
      </x:c>
      <x:c r="D30" s="38" t="str">
        <x:v>DAS-B-011~013</x:v>
      </x:c>
    </x:row>
    <x:row r="31" ht="36" customHeight="1">
      <x:c r="A31" s="38" t="str">
        <x:v>REQ-26</x:v>
      </x:c>
      <x:c r="B31" s="38" t="str">
        <x:v>算法参数</x:v>
      </x:c>
      <x:c r="C31" s="38" t="str">
        <x:v>背景、频段、邻域参数合法</x:v>
      </x:c>
      <x:c r="D31" s="38" t="str">
        <x:v>DAS-B-014~016</x:v>
      </x:c>
    </x:row>
    <x:row r="32" ht="36" customHeight="1">
      <x:c r="A32" s="38" t="str">
        <x:v>REQ-27</x:v>
      </x:c>
      <x:c r="B32" s="38" t="str">
        <x:v>窗口规则</x:v>
      </x:c>
      <x:c r="C32" s="38" t="str">
        <x:v>持续性和后续窗口合法</x:v>
      </x:c>
      <x:c r="D32" s="38" t="str">
        <x:v>DAS-B-017~018</x:v>
      </x:c>
    </x:row>
    <x:row r="33" ht="36" customHeight="1">
      <x:c r="A33" s="38" t="str">
        <x:v>REQ-28</x:v>
      </x:c>
      <x:c r="B33" s="38" t="str">
        <x:v>文件规则</x:v>
      </x:c>
      <x:c r="C33" s="38" t="str">
        <x:v>连续文件数量要求</x:v>
      </x:c>
      <x:c r="D33" s="38" t="str">
        <x:v>DAS-B-019</x:v>
      </x:c>
    </x:row>
    <x:row r="34" ht="36" customHeight="1">
      <x:c r="A34" s="38" t="str">
        <x:v>REQ-29</x:v>
      </x:c>
      <x:c r="B34" s="38" t="str">
        <x:v>解析异常</x:v>
      </x:c>
      <x:c r="C34" s="38" t="str">
        <x:v>损坏或元数据异常不崩溃</x:v>
      </x:c>
      <x:c r="D34" s="38" t="str">
        <x:v>DAS-B-020~021</x:v>
      </x:c>
    </x:row>
    <x:row r="35" ht="36" customHeight="1">
      <x:c r="A35" s="38" t="str">
        <x:v>REQ-30</x:v>
      </x:c>
      <x:c r="B35" s="38" t="str">
        <x:v>编码兼容</x:v>
      </x:c>
      <x:c r="C35" s="38" t="str">
        <x:v>中文路径可读可写日志</x:v>
      </x:c>
      <x:c r="D35" s="38" t="str">
        <x:v>DAS-B-022</x:v>
      </x:c>
    </x:row>
    <x:row r="36" ht="36" customHeight="1">
      <x:c r="A36" s="38" t="str">
        <x:v>REQ-31</x:v>
      </x:c>
      <x:c r="B36" s="38" t="str">
        <x:v>查询边界</x:v>
      </x:c>
      <x:c r="C36" s="38" t="str">
        <x:v>不存在任务和无导出结果可控</x:v>
      </x:c>
      <x:c r="D36" s="38" t="str">
        <x:v>DAS-B-023~024</x:v>
      </x:c>
    </x:row>
    <x:row r="37" ht="36" customHeight="1">
      <x:c r="A37" s="38" t="str">
        <x:v>REQ-32</x:v>
      </x:c>
      <x:c r="B37" s="38" t="str">
        <x:v>HTTP健壮性</x:v>
      </x:c>
      <x:c r="C37" s="38" t="str">
        <x:v>畸形请求不影响服务</x:v>
      </x:c>
      <x:c r="D37" s="38" t="str">
        <x:v>DAS-B-025~026</x:v>
      </x:c>
    </x:row>
    <x:row r="38" ht="36" customHeight="1">
      <x:c r="A38" s="38" t="str">
        <x:v>REQ-33</x:v>
      </x:c>
      <x:c r="B38" s="38" t="str">
        <x:v>性能</x:v>
      </x:c>
      <x:c r="C38" s="38" t="str">
        <x:v>同机基线和容量观察</x:v>
      </x:c>
      <x:c r="D38" s="38" t="str">
        <x:v>DAS-P-001~004</x:v>
      </x:c>
    </x:row>
    <x:row r="39" ht="36" customHeight="1">
      <x:c r="A39" s="38" t="str">
        <x:v>REQ-34</x:v>
      </x:c>
      <x:c r="B39" s="38" t="str">
        <x:v>可靠性</x:v>
      </x:c>
      <x:c r="C39" s="38" t="str">
        <x:v>重复、并行、重启可验证</x:v>
      </x:c>
      <x:c r="D39" s="38" t="str">
        <x:v>DAS-P-005~007</x:v>
      </x:c>
    </x:row>
    <x:row r="40" ht="36" customHeight="1">
      <x:c r="A40" s="38" t="str">
        <x:v>REQ-35</x:v>
      </x:c>
      <x:c r="B40" s="38" t="str">
        <x:v>运行保护</x:v>
      </x:c>
      <x:c r="C40" s="38" t="str">
        <x:v>日志轮转和数据Hash</x:v>
      </x:c>
      <x:c r="D40" s="38" t="str">
        <x:v>DAS-P-008~009</x:v>
      </x:c>
    </x:row>
    <x:row r="41" ht="36" customHeight="1">
      <x:c r="A41" s="38" t="str">
        <x:v>REQ-36</x:v>
      </x:c>
      <x:c r="B41" s="38" t="str">
        <x:v>UI解耦</x:v>
      </x:c>
      <x:c r="C41" s="38" t="str">
        <x:v>浏览器刷新不决定任务生命周期</x:v>
      </x:c>
      <x:c r="D41" s="38" t="str">
        <x:v>DAS-P-010~011</x:v>
      </x:c>
    </x:row>
    <x:row r="42" ht="36" customHeight="1">
      <x:c r="A42" s="38" t="str">
        <x:v>REQ-37</x:v>
      </x:c>
      <x:c r="B42" s="38" t="str">
        <x:v>容量</x:v>
      </x:c>
      <x:c r="C42" s="38" t="str">
        <x:v>目录枚举和导出容量</x:v>
      </x:c>
      <x:c r="D42" s="38" t="str">
        <x:v>DAS-P-012~013</x:v>
      </x:c>
    </x:row>
    <x:row r="43" ht="36" customHeight="1">
      <x:c r="A43" s="38" t="str">
        <x:v>REQ-38</x:v>
      </x:c>
      <x:c r="B43" s="38" t="str">
        <x:v>回归</x:v>
      </x:c>
      <x:c r="C43" s="38" t="str">
        <x:v>自动化和系统冒烟</x:v>
      </x:c>
      <x:c r="D43" s="38" t="str">
        <x:v>DAS-P-014~015</x:v>
      </x:c>
    </x:row>
    <x:row r="44" ht="36" customHeight="1">
      <x:c r="A44" s="38" t="str">
        <x:v>REQ-39</x:v>
      </x:c>
      <x:c r="B44" s="38" t="str">
        <x:v>兼容性</x:v>
      </x:c>
      <x:c r="C44" s="38" t="str">
        <x:v>Windows浏览器访问WSL服务</x:v>
      </x:c>
      <x:c r="D44" s="38" t="str">
        <x:v>DAS-P-016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d464f1c844345ed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9" hidden="0" customWidth="1"/>
    <x:col min="4" max="4" width="18" hidden="0" customWidth="1"/>
    <x:col min="5" max="5" width="34" hidden="0" customWidth="1"/>
    <x:col min="6" max="6" width="28" hidden="0" customWidth="1"/>
  </x:cols>
  <x:sheetData>
    <x:row r="1" ht="28" customHeight="1">
      <x:c r="A1" s="2" t="str">
        <x:v>测试数据与环境清单</x:v>
      </x:c>
    </x:row>
    <x:row r="2">
      <x:c r="A2" s="3" t="str">
        <x:v>真实TDMS仅只读；合成TDMS用于可控验证正常、瞬时异常、持续异常和空间相邻异常。</x:v>
      </x:c>
    </x:row>
    <x:row r="5">
      <x:c r="A5" s="9" t="str">
        <x:v>数据ID</x:v>
      </x:c>
      <x:c r="B5" s="9" t="str">
        <x:v>类别</x:v>
      </x:c>
      <x:c r="C5" s="9" t="str">
        <x:v>名称/路径</x:v>
      </x:c>
      <x:c r="D5" s="9" t="str">
        <x:v>位置</x:v>
      </x:c>
      <x:c r="E5" s="9" t="str">
        <x:v>关键属性</x:v>
      </x:c>
      <x:c r="F5" s="9" t="str">
        <x:v>主要用途</x:v>
      </x:c>
    </x:row>
    <x:row r="6" ht="34" customHeight="1">
      <x:c r="A6" s="38" t="str">
        <x:v>TDMS-R-01</x:v>
      </x:c>
      <x:c r="B6" s="38" t="str">
        <x:v>真实历史数据</x:v>
      </x:c>
      <x:c r="C6" s="38" t="str">
        <x:v>00/Das_data_00-00-49.tdms</x:v>
      </x:c>
      <x:c r="D6" s="38" t="str">
        <x:v>F:\数据</x:v>
      </x:c>
      <x:c r="E6" s="38" t="str">
        <x:v>4000逻辑通道，60000点/通道，约1.92GB</x:v>
      </x:c>
      <x:c r="F6" s="38" t="str">
        <x:v>真实回放和性能</x:v>
      </x:c>
    </x:row>
    <x:row r="7" ht="34" customHeight="1">
      <x:c r="A7" s="38" t="str">
        <x:v>TDMS-R-02</x:v>
      </x:c>
      <x:c r="B7" s="38" t="str">
        <x:v>真实连续数据</x:v>
      </x:c>
      <x:c r="C7" s="38" t="str">
        <x:v>00-00至00-02-49.tdms</x:v>
      </x:c>
      <x:c r="D7" s="38" t="str">
        <x:v>F:\数据</x:v>
      </x:c>
      <x:c r="E7" s="38" t="str">
        <x:v>同目录连续3文件</x:v>
      </x:c>
      <x:c r="F7" s="38" t="str">
        <x:v>跨文件持续性</x:v>
      </x:c>
    </x:row>
    <x:row r="8" ht="34" customHeight="1">
      <x:c r="A8" s="38" t="str">
        <x:v>TDMS-S-01</x:v>
      </x:c>
      <x:c r="B8" s="38" t="str">
        <x:v>合成正常</x:v>
      </x:c>
      <x:c r="C8" s="38" t="str">
        <x:v>normal.tdms</x:v>
      </x:c>
      <x:c r="D8" s="38" t="str">
        <x:v>pytest临时目录</x:v>
      </x:c>
      <x:c r="E8" s="38" t="str">
        <x:v>8通道轻微噪声</x:v>
      </x:c>
      <x:c r="F8" s="38" t="str">
        <x:v>误报抑制</x:v>
      </x:c>
    </x:row>
    <x:row r="9" ht="34" customHeight="1">
      <x:c r="A9" s="38" t="str">
        <x:v>TDMS-S-02</x:v>
      </x:c>
      <x:c r="B9" s="38" t="str">
        <x:v>合成持续异常</x:v>
      </x:c>
      <x:c r="C9" s="38" t="str">
        <x:v>persistent.tdms</x:v>
      </x:c>
      <x:c r="D9" s="38" t="str">
        <x:v>pytest临时目录</x:v>
      </x:c>
      <x:c r="E9" s="38" t="str">
        <x:v>通道6，40Hz，3窗口</x:v>
      </x:c>
      <x:c r="F9" s="38" t="str">
        <x:v>多窗口预警</x:v>
      </x:c>
    </x:row>
    <x:row r="10" ht="34" customHeight="1">
      <x:c r="A10" s="38" t="str">
        <x:v>TDMS-S-03</x:v>
      </x:c>
      <x:c r="B10" s="38" t="str">
        <x:v>合成相邻异常</x:v>
      </x:c>
      <x:c r="C10" s="38" t="str">
        <x:v>region.tdms</x:v>
      </x:c>
      <x:c r="D10" s="38" t="str">
        <x:v>pytest临时目录</x:v>
      </x:c>
      <x:c r="E10" s="38" t="str">
        <x:v>通道5-6，40Hz</x:v>
      </x:c>
      <x:c r="F10" s="38" t="str">
        <x:v>空间区间</x:v>
      </x:c>
    </x:row>
    <x:row r="11" ht="34" customHeight="1">
      <x:c r="A11" s="38" t="str">
        <x:v>TDMS-S-04</x:v>
      </x:c>
      <x:c r="B11" s="38" t="str">
        <x:v>合成瞬时异常</x:v>
      </x:c>
      <x:c r="C11" s="38" t="str">
        <x:v>transient.tdms</x:v>
      </x:c>
      <x:c r="D11" s="38" t="str">
        <x:v>pytest临时目录</x:v>
      </x:c>
      <x:c r="E11" s="38" t="str">
        <x:v>仅第1窗口异常</x:v>
      </x:c>
      <x:c r="F11" s="38" t="str">
        <x:v>不升级预警</x:v>
      </x:c>
    </x:row>
    <x:row r="12" ht="34" customHeight="1">
      <x:c r="A12" s="38" t="str">
        <x:v>TDMS-S-05</x:v>
      </x:c>
      <x:c r="B12" s="38" t="str">
        <x:v>合成跨文件异常</x:v>
      </x:c>
      <x:c r="C12" s="38" t="str">
        <x:v>sequence-00~02.tdms</x:v>
      </x:c>
      <x:c r="D12" s="38" t="str">
        <x:v>pytest临时目录</x:v>
      </x:c>
      <x:c r="E12" s="38" t="str">
        <x:v>通道6连续异常</x:v>
      </x:c>
      <x:c r="F12" s="38" t="str">
        <x:v>跨文件预警</x:v>
      </x:c>
    </x:row>
    <x:row r="13" ht="34" customHeight="1">
      <x:c r="A13" s="38" t="str">
        <x:v>NEG-01</x:v>
      </x:c>
      <x:c r="B13" s="38" t="str">
        <x:v>路径穿越</x:v>
      </x:c>
      <x:c r="C13" s="38" t="str">
        <x:v>../private.tdms</x:v>
      </x:c>
      <x:c r="D13" s="38" t="str">
        <x:v>接口请求</x:v>
      </x:c>
      <x:c r="E13" s="38" t="str">
        <x:v>非法路径</x:v>
      </x:c>
      <x:c r="F13" s="38" t="str">
        <x:v>安全负向</x:v>
      </x:c>
    </x:row>
    <x:row r="14" ht="34" customHeight="1">
      <x:c r="A14" s="38" t="str">
        <x:v>NEG-02</x:v>
      </x:c>
      <x:c r="B14" s="38" t="str">
        <x:v>请求上限</x:v>
      </x:c>
      <x:c r="C14" s="38" t="str">
        <x:v>n_samples=50001</x:v>
      </x:c>
      <x:c r="D14" s="38" t="str">
        <x:v>接口请求</x:v>
      </x:c>
      <x:c r="E14" s="38" t="str">
        <x:v>超过API上限</x:v>
      </x:c>
      <x:c r="F14" s="38" t="str">
        <x:v>参数边界</x:v>
      </x:c>
    </x:row>
    <x:row r="15" ht="34" customHeight="1">
      <x:c r="A15" s="38" t="str">
        <x:v>NEG-03</x:v>
      </x:c>
      <x:c r="B15" s="38" t="str">
        <x:v>窗口越界</x:v>
      </x:c>
      <x:c r="C15" s="38" t="str">
        <x:v>start_sample=60000</x:v>
      </x:c>
      <x:c r="D15" s="38" t="str">
        <x:v>接口请求</x:v>
      </x:c>
      <x:c r="E15" s="38" t="str">
        <x:v>等于物理长度</x:v>
      </x:c>
      <x:c r="F15" s="38" t="str">
        <x:v>运行时边界</x:v>
      </x:c>
    </x:row>
    <x:row r="16" ht="34" customHeight="1">
      <x:c r="A16" s="38" t="str">
        <x:v>NEG-04</x:v>
      </x:c>
      <x:c r="B16" s="38" t="str">
        <x:v>损坏文件</x:v>
      </x:c>
      <x:c r="C16" s="38" t="str">
        <x:v>corrupt.tdms</x:v>
      </x:c>
      <x:c r="D16" s="38" t="str">
        <x:v>临时目录</x:v>
      </x:c>
      <x:c r="E16" s="38" t="str">
        <x:v>截断或非TDMS内容</x:v>
      </x:c>
      <x:c r="F16" s="38" t="str">
        <x:v>解析异常</x:v>
      </x:c>
    </x:row>
    <x:row r="19">
      <x:c r="A19" s="39" t="str">
        <x:v>环境项</x:v>
      </x:c>
      <x:c r="B19" s="39" t="str">
        <x:v>当前配置</x:v>
      </x:c>
      <x:c r="C19" s="39" t="str"/>
      <x:c r="D19" s="39" t="str"/>
      <x:c r="E19" s="39" t="str"/>
      <x:c r="F19" s="39" t="str"/>
    </x:row>
    <x:row r="20">
      <x:c r="A20" s="20" t="str">
        <x:v>运行系统</x:v>
      </x:c>
      <x:c r="B20" s="21" t="str">
        <x:v>Ubuntu WSL，Windows浏览器为本地操作台</x:v>
      </x:c>
      <x:c r="C20" s="21" t="str"/>
      <x:c r="D20" s="21" t="str"/>
      <x:c r="E20" s="21" t="str"/>
      <x:c r="F20" s="21" t="str"/>
    </x:row>
    <x:row r="21">
      <x:c r="A21" s="20" t="str">
        <x:v>后端</x:v>
      </x:c>
      <x:c r="B21" s="21" t="str">
        <x:v>Python 3.13 + FastAPI + npTDMS + NumPy/SciPy</x:v>
      </x:c>
      <x:c r="C21" s="21" t="str"/>
      <x:c r="D21" s="21" t="str"/>
      <x:c r="E21" s="21" t="str"/>
      <x:c r="F21" s="21" t="str"/>
    </x:row>
    <x:row r="22">
      <x:c r="A22" s="20" t="str">
        <x:v>测试</x:v>
      </x:c>
      <x:c r="B22" s="21" t="str">
        <x:v>pytest + Allure，项目专属.venv</x:v>
      </x:c>
      <x:c r="C22" s="21" t="str"/>
      <x:c r="D22" s="21" t="str"/>
      <x:c r="E22" s="21" t="str"/>
      <x:c r="F22" s="21" t="str"/>
    </x:row>
    <x:row r="23">
      <x:c r="A23" s="20" t="str">
        <x:v>日志</x:v>
      </x:c>
      <x:c r="B23" s="21" t="str">
        <x:v>logs/das_monitor.log，Linux进程写入</x:v>
      </x:c>
      <x:c r="C23" s="21" t="str"/>
      <x:c r="D23" s="21" t="str"/>
      <x:c r="E23" s="21" t="str"/>
      <x:c r="F23" s="21" t="str"/>
    </x:row>
    <x:row r="24">
      <x:c r="A24" s="20" t="str">
        <x:v>数据保护</x:v>
      </x:c>
      <x:c r="B24" s="21" t="str">
        <x:v>只允许根目录下TDMS相对路径，不写入原始文件</x:v>
      </x:c>
      <x:c r="C24" s="21" t="str"/>
      <x:c r="D24" s="21" t="str"/>
      <x:c r="E24" s="21" t="str"/>
      <x:c r="F24" s="21" t="str"/>
    </x:row>
  </x:sheetData>
  <x:mergeCells>
    <x:mergeCell ref="A1:F1"/>
    <x:mergeCell ref="A2:F2"/>
    <x:mergeCell ref="B19:F19"/>
    <x:mergeCell ref="B20:F20"/>
    <x:mergeCell ref="B21:F21"/>
    <x:mergeCell ref="B22:F22"/>
    <x:mergeCell ref="B23:F23"/>
    <x:mergeCell ref="B24:F24"/>
  </x:mergeCells>
  <x:pageMargins left="0.7" right="0.7" top="0.75" bottom="0.75" header="0.3" footer="0.3"/>
  <x:tableParts count="1">
    <x:tablePart xmlns:r="http://schemas.openxmlformats.org/officeDocument/2006/relationships" r:id="Rf486da1151df47e8"/>
  </x:tableParts>
</x:worksheet>
</file>

<file path=xl/worksheets/sheet5.xml><?xml version="1.0" encoding="utf-8"?>
<x:worksheet xmlns:x="http://schemas.openxmlformats.org/spreadsheetml/2006/main">
  <x:sheetPr>
    <x:tabColor rgb="FFC55A11"/>
  </x:sheetPr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2" hidden="0" customWidth="1"/>
    <x:col min="5" max="5" width="26" hidden="0" customWidth="1"/>
    <x:col min="6" max="6" width="28" hidden="0" customWidth="1"/>
    <x:col min="7" max="7" width="28" hidden="0" customWidth="1"/>
    <x:col min="8" max="8" width="12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28" customHeight="1">
      <x:c r="A1" s="2" t="str">
        <x:v>执行记录与缺陷记录</x:v>
      </x:c>
    </x:row>
    <x:row r="2">
      <x:c r="A2" s="3" t="str">
        <x:v>已执行轮次仅记录已有终端、日志或界面证据；缺陷用于展示发现、修复和回归闭环。</x:v>
      </x:c>
    </x:row>
    <x:row r="5">
      <x:c r="A5" s="9" t="str">
        <x:v>执行轮次</x:v>
      </x:c>
      <x:c r="B5" s="9" t="str">
        <x:v>日期</x:v>
      </x:c>
      <x:c r="C5" s="9" t="str">
        <x:v>范围</x:v>
      </x:c>
      <x:c r="D5" s="9" t="str">
        <x:v>环境</x:v>
      </x:c>
      <x:c r="E5" s="9" t="str">
        <x:v>执行命令/步骤</x:v>
      </x:c>
      <x:c r="F5" s="9" t="str">
        <x:v>结果</x:v>
      </x:c>
      <x:c r="G5" s="9" t="str">
        <x:v>证据</x:v>
      </x:c>
      <x:c r="H5" s="9" t="str">
        <x:v>结论</x:v>
      </x:c>
      <x:c r="I5" s="9" t="str">
        <x:v>执行人</x:v>
      </x:c>
      <x:c r="J5" s="9" t="str">
        <x:v>备注</x:v>
      </x:c>
    </x:row>
    <x:row r="6" ht="48" customHeight="1">
      <x:c r="A6" s="38" t="str">
        <x:v>R1-自动化回归</x:v>
      </x:c>
      <x:c r="B6" s="38" t="str">
        <x:v>2026-10-17</x:v>
      </x:c>
      <x:c r="C6" s="38" t="str">
        <x:v>12项pytest单元/API回归</x:v>
      </x:c>
      <x:c r="D6" s="38" t="str">
        <x:v>Ubuntu WSL .venv</x:v>
      </x:c>
      <x:c r="E6" s="38" t="str">
        <x:v>pytest -q --alluredir=allure-results</x:v>
      </x:c>
      <x:c r="F6" s="38" t="str">
        <x:v>12 passed</x:v>
      </x:c>
      <x:c r="G6" s="38" t="str">
        <x:v>Allure HTML、终端输出</x:v>
      </x:c>
      <x:c r="H6" s="38" t="str">
        <x:v>通过</x:v>
      </x:c>
      <x:c r="I6" s="38" t="str">
        <x:v>待填写</x:v>
      </x:c>
      <x:c r="J6" s="38" t="str">
        <x:v>第三方依赖有弃用告警，不影响用例结果</x:v>
      </x:c>
    </x:row>
    <x:row r="7" ht="48" customHeight="1">
      <x:c r="A7" s="38" t="str">
        <x:v>R2-真实单文件</x:v>
      </x:c>
      <x:c r="B7" s="38" t="str">
        <x:v>2026-10-16</x:v>
      </x:c>
      <x:c r="C7" s="38" t="str">
        <x:v>24通道×10000点</x:v>
      </x:c>
      <x:c r="D7" s="38" t="str">
        <x:v>F:\数据挂载到/mnt/f/数据</x:v>
      </x:c>
      <x:c r="E7" s="38" t="str">
        <x:v>POST analysis-jobs并轮询</x:v>
      </x:c>
      <x:c r="F7" s="38" t="str">
        <x:v>completed，0候选</x:v>
      </x:c>
      <x:c r="G7" s="38" t="str">
        <x:v>job-90541292daa9；日志elapsed_ms=342</x:v>
      </x:c>
      <x:c r="H7" s="38" t="str">
        <x:v>通过</x:v>
      </x:c>
      <x:c r="I7" s="38" t="str">
        <x:v>待填写</x:v>
      </x:c>
      <x:c r="J7" s="38" t="str">
        <x:v>0候选是有效风险筛查结果</x:v>
      </x:c>
    </x:row>
    <x:row r="8" ht="48" customHeight="1">
      <x:c r="A8" s="38" t="str">
        <x:v>R3-真实跨文件</x:v>
      </x:c>
      <x:c r="B8" s="38" t="str">
        <x:v>2026-10-16</x:v>
      </x:c>
      <x:c r="C8" s="38" t="str">
        <x:v>连续3文件，24通道×1000点</x:v>
      </x:c>
      <x:c r="D8" s="38" t="str">
        <x:v>同上</x:v>
      </x:c>
      <x:c r="E8" s="38" t="str">
        <x:v>POST file-persistence-jobs并轮询</x:v>
      </x:c>
      <x:c r="F8" s="38" t="str">
        <x:v>completed，0预警</x:v>
      </x:c>
      <x:c r="G8" s="38" t="str">
        <x:v>job-1d51906185bb；日志elapsed_ms=225</x:v>
      </x:c>
      <x:c r="H8" s="38" t="str">
        <x:v>通过</x:v>
      </x:c>
      <x:c r="I8" s="38" t="str">
        <x:v>待填写</x:v>
      </x:c>
      <x:c r="J8" s="38" t="str">
        <x:v>按文件名词典序近似时间</x:v>
      </x:c>
    </x:row>
    <x:row r="11">
      <x:c r="A11" s="9" t="str">
        <x:v>缺陷ID</x:v>
      </x:c>
      <x:c r="B11" s="9" t="str">
        <x:v>发现日期</x:v>
      </x:c>
      <x:c r="C11" s="9" t="str">
        <x:v>模块</x:v>
      </x:c>
      <x:c r="D11" s="9" t="str">
        <x:v>严重级别</x:v>
      </x:c>
      <x:c r="E11" s="9" t="str">
        <x:v>复现条件</x:v>
      </x:c>
      <x:c r="F11" s="9" t="str">
        <x:v>实际结果</x:v>
      </x:c>
      <x:c r="G11" s="9" t="str">
        <x:v>预期结果</x:v>
      </x:c>
      <x:c r="H11" s="9" t="str">
        <x:v>状态</x:v>
      </x:c>
      <x:c r="I11" s="9" t="str">
        <x:v>修复版本</x:v>
      </x:c>
      <x:c r="J11" s="9" t="str">
        <x:v>回归用例</x:v>
      </x:c>
      <x:c r="K11" s="9" t="str">
        <x:v>备注</x:v>
      </x:c>
    </x:row>
    <x:row r="12" ht="48" customHeight="1">
      <x:c r="A12" s="38" t="str">
        <x:v>DEF-001</x:v>
      </x:c>
      <x:c r="B12" s="38" t="str">
        <x:v>2026-10-16</x:v>
      </x:c>
      <x:c r="C12" s="38" t="str">
        <x:v>网页错误提示</x:v>
      </x:c>
      <x:c r="D12" s="38" t="str">
        <x:v>P1</x:v>
      </x:c>
      <x:c r="E12" s="38" t="str">
        <x:v>提交n_samples=60000</x:v>
      </x:c>
      <x:c r="F12" s="38" t="str">
        <x:v>页面显示错误：[object Object]</x:v>
      </x:c>
      <x:c r="G12" s="38" t="str">
        <x:v>显示字段和校验原因</x:v>
      </x:c>
      <x:c r="H12" s="38" t="str">
        <x:v>已关闭</x:v>
      </x:c>
      <x:c r="I12" s="38" t="str">
        <x:v>早期UI修复</x:v>
      </x:c>
      <x:c r="J12" s="38" t="str">
        <x:v>DAS-F-028</x:v>
      </x:c>
      <x:c r="K12" s="38" t="str">
        <x:v>已改为解析后端detail</x:v>
      </x:c>
    </x:row>
    <x:row r="13" ht="48" customHeight="1">
      <x:c r="A13" s="38" t="str">
        <x:v>DEF-002</x:v>
      </x:c>
      <x:c r="B13" s="38" t="str">
        <x:v>2026-10-17</x:v>
      </x:c>
      <x:c r="C13" s="38" t="str">
        <x:v>跨文件概览图</x:v>
      </x:c>
      <x:c r="D13" s="38" t="str">
        <x:v>P2</x:v>
      </x:c>
      <x:c r="E13" s="38" t="str">
        <x:v>3文件均0候选</x:v>
      </x:c>
      <x:c r="F13" s="38" t="str">
        <x:v>零高度柱与横轴重合</x:v>
      </x:c>
      <x:c r="G13" s="38" t="str">
        <x:v>显示绿色零值标记</x:v>
      </x:c>
      <x:c r="H13" s="38" t="str">
        <x:v>已关闭</x:v>
      </x:c>
      <x:c r="I13" s="38" t="str">
        <x:v>02bb3d6</x:v>
      </x:c>
      <x:c r="J13" s="38" t="str">
        <x:v>DAS-F-022</x:v>
      </x:c>
      <x:c r="K13" s="38" t="str">
        <x:v>增加绿色零值散点和数字</x:v>
      </x:c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ec78ed95ed284ed4"/>
    <x:tablePart xmlns:r="http://schemas.openxmlformats.org/officeDocument/2006/relationships" r:id="R679bdbc909df4c9f"/>
  </x:tableParts>
</x:worksheet>
</file>